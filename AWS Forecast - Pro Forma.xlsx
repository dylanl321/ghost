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do365.sharepoint.us/sites/GDMS-Cloud/Shared Documents/Finance/Forecasts/"/>
    </mc:Choice>
  </mc:AlternateContent>
  <xr:revisionPtr revIDLastSave="0" documentId="8_{1CE93EEB-4B85-4459-A84C-CC9D833C53D2}" xr6:coauthVersionLast="47" xr6:coauthVersionMax="47" xr10:uidLastSave="{00000000-0000-0000-0000-000000000000}"/>
  <bookViews>
    <workbookView xWindow="90" yWindow="-17265" windowWidth="18795" windowHeight="14325" xr2:uid="{00000000-000D-0000-FFFF-FFFF00000000}"/>
  </bookViews>
  <sheets>
    <sheet name="Forecast" sheetId="15" r:id="rId1"/>
  </sheets>
  <definedNames>
    <definedName name="_xlnm._FilterDatabase" localSheetId="0" hidden="1">Forecast!$A$3:$G$137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5" l="1"/>
  <c r="X7" i="15"/>
  <c r="Y7" i="15"/>
  <c r="Z7" i="15"/>
  <c r="AA7" i="15"/>
  <c r="AB7" i="15"/>
  <c r="AC7" i="15"/>
  <c r="AD7" i="15"/>
  <c r="AE7" i="15"/>
  <c r="AF7" i="15"/>
  <c r="AG7" i="15"/>
  <c r="AH7" i="15"/>
  <c r="W8" i="15"/>
  <c r="X8" i="15"/>
  <c r="Y8" i="15"/>
  <c r="Z8" i="15"/>
  <c r="AA8" i="15"/>
  <c r="AB8" i="15"/>
  <c r="AC8" i="15"/>
  <c r="AD8" i="15"/>
  <c r="AE8" i="15"/>
  <c r="AF8" i="15"/>
  <c r="AG8" i="15"/>
  <c r="AH8" i="15"/>
  <c r="W9" i="15"/>
  <c r="X9" i="15"/>
  <c r="Y9" i="15"/>
  <c r="Z9" i="15"/>
  <c r="AA9" i="15"/>
  <c r="AB9" i="15"/>
  <c r="AC9" i="15"/>
  <c r="AD9" i="15"/>
  <c r="AE9" i="15"/>
  <c r="AF9" i="15"/>
  <c r="AG9" i="15"/>
  <c r="AH9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W90" i="15"/>
  <c r="X90" i="15"/>
  <c r="Y90" i="15"/>
  <c r="Z90" i="15"/>
  <c r="AA90" i="15"/>
  <c r="AB90" i="15"/>
  <c r="AC90" i="15"/>
  <c r="AD90" i="15"/>
  <c r="AE90" i="15"/>
  <c r="AF90" i="15"/>
  <c r="AG90" i="15"/>
  <c r="AH90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W92" i="15"/>
  <c r="X92" i="15"/>
  <c r="Y92" i="15"/>
  <c r="Z92" i="15"/>
  <c r="AA92" i="15"/>
  <c r="AB92" i="15"/>
  <c r="AC92" i="15"/>
  <c r="AD92" i="15"/>
  <c r="AE92" i="15"/>
  <c r="AF92" i="15"/>
  <c r="AG92" i="15"/>
  <c r="AH92" i="15"/>
  <c r="W93" i="15"/>
  <c r="X93" i="15"/>
  <c r="Y93" i="15"/>
  <c r="Z93" i="15"/>
  <c r="AA93" i="15"/>
  <c r="AB93" i="15"/>
  <c r="AC93" i="15"/>
  <c r="AD93" i="15"/>
  <c r="AE93" i="15"/>
  <c r="AF93" i="15"/>
  <c r="AG93" i="15"/>
  <c r="AH93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W108" i="15"/>
  <c r="X108" i="15"/>
  <c r="Y108" i="15"/>
  <c r="Z108" i="15"/>
  <c r="AA108" i="15"/>
  <c r="AB108" i="15"/>
  <c r="AC108" i="15"/>
  <c r="AD108" i="15"/>
  <c r="AE108" i="15"/>
  <c r="AF108" i="15"/>
  <c r="AG108" i="15"/>
  <c r="AH108" i="15"/>
  <c r="W109" i="15"/>
  <c r="X109" i="15"/>
  <c r="Y109" i="15"/>
  <c r="Z109" i="15"/>
  <c r="AA109" i="15"/>
  <c r="AB109" i="15"/>
  <c r="AC109" i="15"/>
  <c r="AD109" i="15"/>
  <c r="AE109" i="15"/>
  <c r="AF109" i="15"/>
  <c r="AG109" i="15"/>
  <c r="AH109" i="15"/>
  <c r="W110" i="15"/>
  <c r="X110" i="15"/>
  <c r="Y110" i="15"/>
  <c r="Z110" i="15"/>
  <c r="AA110" i="15"/>
  <c r="AB110" i="15"/>
  <c r="AC110" i="15"/>
  <c r="AD110" i="15"/>
  <c r="AE110" i="15"/>
  <c r="AF110" i="15"/>
  <c r="AG110" i="15"/>
  <c r="AH110" i="15"/>
  <c r="W111" i="15"/>
  <c r="X111" i="15"/>
  <c r="Y111" i="15"/>
  <c r="Z111" i="15"/>
  <c r="AA111" i="15"/>
  <c r="AB111" i="15"/>
  <c r="AC111" i="15"/>
  <c r="AD111" i="15"/>
  <c r="AE111" i="15"/>
  <c r="AF111" i="15"/>
  <c r="AG111" i="15"/>
  <c r="AH111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W114" i="15"/>
  <c r="X114" i="15"/>
  <c r="Y114" i="15"/>
  <c r="Z114" i="15"/>
  <c r="AA114" i="15"/>
  <c r="AB114" i="15"/>
  <c r="AC114" i="15"/>
  <c r="AD114" i="15"/>
  <c r="AE114" i="15"/>
  <c r="AF114" i="15"/>
  <c r="AG114" i="15"/>
  <c r="AH114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W119" i="15"/>
  <c r="X119" i="15"/>
  <c r="Y119" i="15"/>
  <c r="Z119" i="15"/>
  <c r="AA119" i="15"/>
  <c r="AB119" i="15"/>
  <c r="AC119" i="15"/>
  <c r="AD119" i="15"/>
  <c r="AE119" i="15"/>
  <c r="AF119" i="15"/>
  <c r="AG119" i="15"/>
  <c r="AH119" i="15"/>
  <c r="W120" i="15"/>
  <c r="X120" i="15"/>
  <c r="Y120" i="15"/>
  <c r="Z120" i="15"/>
  <c r="AA120" i="15"/>
  <c r="AB120" i="15"/>
  <c r="AC120" i="15"/>
  <c r="AD120" i="15"/>
  <c r="AE120" i="15"/>
  <c r="AF120" i="15"/>
  <c r="AG120" i="15"/>
  <c r="AH120" i="15"/>
  <c r="W121" i="15"/>
  <c r="X121" i="15"/>
  <c r="Y121" i="15"/>
  <c r="Z121" i="15"/>
  <c r="AA121" i="15"/>
  <c r="AB121" i="15"/>
  <c r="AC121" i="15"/>
  <c r="AD121" i="15"/>
  <c r="AE121" i="15"/>
  <c r="AF121" i="15"/>
  <c r="AG121" i="15"/>
  <c r="AH121" i="15"/>
  <c r="W122" i="15"/>
  <c r="X122" i="15"/>
  <c r="Y122" i="15"/>
  <c r="Z122" i="15"/>
  <c r="AA122" i="15"/>
  <c r="AB122" i="15"/>
  <c r="AC122" i="15"/>
  <c r="AD122" i="15"/>
  <c r="AE122" i="15"/>
  <c r="AF122" i="15"/>
  <c r="AG122" i="15"/>
  <c r="AH122" i="15"/>
  <c r="W123" i="15"/>
  <c r="X123" i="15"/>
  <c r="Y123" i="15"/>
  <c r="Z123" i="15"/>
  <c r="AA123" i="15"/>
  <c r="AB123" i="15"/>
  <c r="AC123" i="15"/>
  <c r="AD123" i="15"/>
  <c r="AE123" i="15"/>
  <c r="AF123" i="15"/>
  <c r="AG123" i="15"/>
  <c r="AH123" i="15"/>
  <c r="W124" i="15"/>
  <c r="X124" i="15"/>
  <c r="Y124" i="15"/>
  <c r="Z124" i="15"/>
  <c r="AA124" i="15"/>
  <c r="AB124" i="15"/>
  <c r="AC124" i="15"/>
  <c r="AD124" i="15"/>
  <c r="AE124" i="15"/>
  <c r="AF124" i="15"/>
  <c r="AG124" i="15"/>
  <c r="AH124" i="15"/>
  <c r="W125" i="15"/>
  <c r="X125" i="15"/>
  <c r="Y125" i="15"/>
  <c r="Z125" i="15"/>
  <c r="AA125" i="15"/>
  <c r="AB125" i="15"/>
  <c r="AC125" i="15"/>
  <c r="AD125" i="15"/>
  <c r="AE125" i="15"/>
  <c r="AF125" i="15"/>
  <c r="AG125" i="15"/>
  <c r="AH125" i="15"/>
  <c r="W126" i="15"/>
  <c r="X126" i="15"/>
  <c r="Y126" i="15"/>
  <c r="Z126" i="15"/>
  <c r="AA126" i="15"/>
  <c r="AB126" i="15"/>
  <c r="AC126" i="15"/>
  <c r="AD126" i="15"/>
  <c r="AE126" i="15"/>
  <c r="AF126" i="15"/>
  <c r="AG126" i="15"/>
  <c r="AH126" i="15"/>
  <c r="W127" i="15"/>
  <c r="X127" i="15"/>
  <c r="Y127" i="15"/>
  <c r="Z127" i="15"/>
  <c r="AA127" i="15"/>
  <c r="AB127" i="15"/>
  <c r="AC127" i="15"/>
  <c r="AD127" i="15"/>
  <c r="AE127" i="15"/>
  <c r="AF127" i="15"/>
  <c r="AG127" i="15"/>
  <c r="AH127" i="15"/>
  <c r="W128" i="15"/>
  <c r="X128" i="15"/>
  <c r="Y128" i="15"/>
  <c r="Z128" i="15"/>
  <c r="AA128" i="15"/>
  <c r="AB128" i="15"/>
  <c r="AC128" i="15"/>
  <c r="AD128" i="15"/>
  <c r="AE128" i="15"/>
  <c r="AF128" i="15"/>
  <c r="AG128" i="15"/>
  <c r="AH128" i="15"/>
  <c r="W129" i="15"/>
  <c r="X129" i="15"/>
  <c r="Y129" i="15"/>
  <c r="Z129" i="15"/>
  <c r="AA129" i="15"/>
  <c r="AB129" i="15"/>
  <c r="AC129" i="15"/>
  <c r="AD129" i="15"/>
  <c r="AE129" i="15"/>
  <c r="AF129" i="15"/>
  <c r="AG129" i="15"/>
  <c r="AH129" i="15"/>
  <c r="W130" i="15"/>
  <c r="X130" i="15"/>
  <c r="Y130" i="15"/>
  <c r="Z130" i="15"/>
  <c r="AA130" i="15"/>
  <c r="AB130" i="15"/>
  <c r="AC130" i="15"/>
  <c r="AD130" i="15"/>
  <c r="AE130" i="15"/>
  <c r="AF130" i="15"/>
  <c r="AG130" i="15"/>
  <c r="AH130" i="15"/>
  <c r="W131" i="15"/>
  <c r="X131" i="15"/>
  <c r="Y131" i="15"/>
  <c r="Z131" i="15"/>
  <c r="AA131" i="15"/>
  <c r="AB131" i="15"/>
  <c r="AC131" i="15"/>
  <c r="AD131" i="15"/>
  <c r="AE131" i="15"/>
  <c r="AF131" i="15"/>
  <c r="AG131" i="15"/>
  <c r="AH131" i="15"/>
  <c r="W132" i="15"/>
  <c r="X132" i="15"/>
  <c r="Y132" i="15"/>
  <c r="Z132" i="15"/>
  <c r="AA132" i="15"/>
  <c r="AB132" i="15"/>
  <c r="AC132" i="15"/>
  <c r="AD132" i="15"/>
  <c r="AE132" i="15"/>
  <c r="AF132" i="15"/>
  <c r="AG132" i="15"/>
  <c r="AH132" i="15"/>
  <c r="W133" i="15"/>
  <c r="X133" i="15"/>
  <c r="Y133" i="15"/>
  <c r="Z133" i="15"/>
  <c r="AA133" i="15"/>
  <c r="AB133" i="15"/>
  <c r="AC133" i="15"/>
  <c r="AD133" i="15"/>
  <c r="AE133" i="15"/>
  <c r="AF133" i="15"/>
  <c r="AG133" i="15"/>
  <c r="AH133" i="15"/>
  <c r="W134" i="15"/>
  <c r="X134" i="15"/>
  <c r="Y134" i="15"/>
  <c r="Z134" i="15"/>
  <c r="AA134" i="15"/>
  <c r="AB134" i="15"/>
  <c r="AC134" i="15"/>
  <c r="AD134" i="15"/>
  <c r="AE134" i="15"/>
  <c r="AF134" i="15"/>
  <c r="AG134" i="15"/>
  <c r="AH134" i="15"/>
  <c r="W135" i="15"/>
  <c r="X135" i="15"/>
  <c r="Y135" i="15"/>
  <c r="Z135" i="15"/>
  <c r="AA135" i="15"/>
  <c r="AB135" i="15"/>
  <c r="AC135" i="15"/>
  <c r="AD135" i="15"/>
  <c r="AE135" i="15"/>
  <c r="AF135" i="15"/>
  <c r="AG135" i="15"/>
  <c r="AH135" i="15"/>
  <c r="W136" i="15"/>
  <c r="X136" i="15"/>
  <c r="Y136" i="15"/>
  <c r="Z136" i="15"/>
  <c r="AA136" i="15"/>
  <c r="AB136" i="15"/>
  <c r="AC136" i="15"/>
  <c r="AD136" i="15"/>
  <c r="AE136" i="15"/>
  <c r="AF136" i="15"/>
  <c r="AG136" i="15"/>
  <c r="AH136" i="15"/>
  <c r="W137" i="15"/>
  <c r="X137" i="15"/>
  <c r="Y137" i="15"/>
  <c r="Z137" i="15"/>
  <c r="AA137" i="15"/>
  <c r="AB137" i="15"/>
  <c r="AC137" i="15"/>
  <c r="AD137" i="15"/>
  <c r="AE137" i="15"/>
  <c r="AF137" i="15"/>
  <c r="AG137" i="15"/>
  <c r="AH137" i="15"/>
  <c r="S130" i="15"/>
  <c r="T130" i="15"/>
  <c r="U130" i="15"/>
  <c r="V130" i="15"/>
  <c r="S131" i="15"/>
  <c r="T131" i="15"/>
  <c r="U131" i="15"/>
  <c r="V131" i="15"/>
  <c r="S132" i="15"/>
  <c r="T132" i="15"/>
  <c r="U132" i="15"/>
  <c r="V132" i="15"/>
  <c r="S133" i="15"/>
  <c r="T133" i="15"/>
  <c r="U133" i="15"/>
  <c r="V133" i="15"/>
  <c r="S134" i="15"/>
  <c r="T134" i="15"/>
  <c r="U134" i="15"/>
  <c r="V134" i="15"/>
  <c r="S135" i="15"/>
  <c r="T135" i="15"/>
  <c r="U135" i="15"/>
  <c r="V135" i="15"/>
  <c r="S125" i="15"/>
  <c r="T125" i="15"/>
  <c r="U125" i="15"/>
  <c r="V125" i="15"/>
  <c r="S111" i="15"/>
  <c r="T111" i="15"/>
  <c r="U111" i="15"/>
  <c r="V111" i="15"/>
  <c r="S79" i="15"/>
  <c r="T79" i="15"/>
  <c r="U79" i="15"/>
  <c r="V79" i="15"/>
  <c r="S24" i="15"/>
  <c r="T24" i="15"/>
  <c r="U24" i="15"/>
  <c r="S7" i="15"/>
  <c r="T7" i="15"/>
  <c r="U7" i="15"/>
  <c r="S8" i="15"/>
  <c r="T8" i="15"/>
  <c r="U8" i="15"/>
  <c r="S9" i="15"/>
  <c r="T9" i="15"/>
  <c r="U9" i="15"/>
  <c r="S10" i="15"/>
  <c r="T10" i="15"/>
  <c r="U10" i="15"/>
  <c r="S11" i="15"/>
  <c r="T11" i="15"/>
  <c r="U11" i="15"/>
  <c r="S12" i="15"/>
  <c r="T12" i="15"/>
  <c r="U12" i="15"/>
  <c r="S13" i="15"/>
  <c r="T13" i="15"/>
  <c r="U13" i="15"/>
  <c r="S14" i="15"/>
  <c r="T14" i="15"/>
  <c r="U14" i="15"/>
  <c r="S15" i="15"/>
  <c r="T15" i="15"/>
  <c r="U15" i="15"/>
  <c r="S16" i="15"/>
  <c r="T16" i="15"/>
  <c r="U16" i="15"/>
  <c r="S17" i="15"/>
  <c r="T17" i="15"/>
  <c r="U17" i="15"/>
  <c r="S18" i="15"/>
  <c r="T18" i="15"/>
  <c r="U18" i="15"/>
  <c r="S19" i="15"/>
  <c r="T19" i="15"/>
  <c r="U19" i="15"/>
  <c r="S20" i="15"/>
  <c r="T20" i="15"/>
  <c r="U20" i="15"/>
  <c r="S21" i="15"/>
  <c r="T21" i="15"/>
  <c r="U21" i="15"/>
  <c r="S22" i="15"/>
  <c r="T22" i="15"/>
  <c r="U22" i="15"/>
  <c r="S23" i="15"/>
  <c r="T23" i="15"/>
  <c r="U23" i="15"/>
  <c r="S25" i="15"/>
  <c r="T25" i="15"/>
  <c r="U25" i="15"/>
  <c r="S26" i="15"/>
  <c r="T26" i="15"/>
  <c r="U26" i="15"/>
  <c r="S27" i="15"/>
  <c r="T27" i="15"/>
  <c r="U27" i="15"/>
  <c r="S28" i="15"/>
  <c r="T28" i="15"/>
  <c r="U28" i="15"/>
  <c r="S29" i="15"/>
  <c r="T29" i="15"/>
  <c r="U29" i="15"/>
  <c r="S30" i="15"/>
  <c r="T30" i="15"/>
  <c r="U30" i="15"/>
  <c r="S31" i="15"/>
  <c r="T31" i="15"/>
  <c r="U31" i="15"/>
  <c r="S32" i="15"/>
  <c r="T32" i="15"/>
  <c r="U32" i="15"/>
  <c r="S33" i="15"/>
  <c r="T33" i="15"/>
  <c r="U33" i="15"/>
  <c r="S34" i="15"/>
  <c r="T34" i="15"/>
  <c r="U34" i="15"/>
  <c r="S35" i="15"/>
  <c r="T35" i="15"/>
  <c r="U35" i="15"/>
  <c r="S36" i="15"/>
  <c r="T36" i="15"/>
  <c r="U36" i="15"/>
  <c r="S37" i="15"/>
  <c r="T37" i="15"/>
  <c r="U37" i="15"/>
  <c r="S38" i="15"/>
  <c r="T38" i="15"/>
  <c r="U38" i="15"/>
  <c r="S39" i="15"/>
  <c r="T39" i="15"/>
  <c r="U39" i="15"/>
  <c r="S40" i="15"/>
  <c r="T40" i="15"/>
  <c r="U40" i="15"/>
  <c r="S41" i="15"/>
  <c r="T41" i="15"/>
  <c r="U41" i="15"/>
  <c r="S42" i="15"/>
  <c r="T42" i="15"/>
  <c r="U42" i="15"/>
  <c r="S43" i="15"/>
  <c r="T43" i="15"/>
  <c r="U43" i="15"/>
  <c r="S44" i="15"/>
  <c r="T44" i="15"/>
  <c r="U44" i="15"/>
  <c r="S45" i="15"/>
  <c r="T45" i="15"/>
  <c r="U45" i="15"/>
  <c r="S46" i="15"/>
  <c r="T46" i="15"/>
  <c r="U46" i="15"/>
  <c r="S47" i="15"/>
  <c r="T47" i="15"/>
  <c r="U47" i="15"/>
  <c r="S48" i="15"/>
  <c r="T48" i="15"/>
  <c r="U48" i="15"/>
  <c r="S49" i="15"/>
  <c r="T49" i="15"/>
  <c r="U49" i="15"/>
  <c r="S50" i="15"/>
  <c r="T50" i="15"/>
  <c r="U50" i="15"/>
  <c r="S51" i="15"/>
  <c r="T51" i="15"/>
  <c r="U51" i="15"/>
  <c r="S52" i="15"/>
  <c r="T52" i="15"/>
  <c r="U52" i="15"/>
  <c r="S53" i="15"/>
  <c r="T53" i="15"/>
  <c r="U53" i="15"/>
  <c r="S54" i="15"/>
  <c r="T54" i="15"/>
  <c r="U54" i="15"/>
  <c r="S55" i="15"/>
  <c r="T55" i="15"/>
  <c r="U55" i="15"/>
  <c r="S56" i="15"/>
  <c r="T56" i="15"/>
  <c r="U56" i="15"/>
  <c r="S57" i="15"/>
  <c r="T57" i="15"/>
  <c r="U57" i="15"/>
  <c r="S58" i="15"/>
  <c r="T58" i="15"/>
  <c r="U58" i="15"/>
  <c r="S59" i="15"/>
  <c r="T59" i="15"/>
  <c r="U59" i="15"/>
  <c r="S60" i="15"/>
  <c r="T60" i="15"/>
  <c r="U60" i="15"/>
  <c r="S61" i="15"/>
  <c r="T61" i="15"/>
  <c r="U61" i="15"/>
  <c r="S62" i="15"/>
  <c r="T62" i="15"/>
  <c r="U62" i="15"/>
  <c r="S63" i="15"/>
  <c r="T63" i="15"/>
  <c r="U63" i="15"/>
  <c r="S64" i="15"/>
  <c r="T64" i="15"/>
  <c r="U64" i="15"/>
  <c r="S65" i="15"/>
  <c r="T65" i="15"/>
  <c r="U65" i="15"/>
  <c r="S66" i="15"/>
  <c r="T66" i="15"/>
  <c r="U66" i="15"/>
  <c r="S67" i="15"/>
  <c r="T67" i="15"/>
  <c r="U67" i="15"/>
  <c r="S68" i="15"/>
  <c r="T68" i="15"/>
  <c r="U68" i="15"/>
  <c r="S69" i="15"/>
  <c r="T69" i="15"/>
  <c r="U69" i="15"/>
  <c r="S70" i="15"/>
  <c r="T70" i="15"/>
  <c r="U70" i="15"/>
  <c r="S71" i="15"/>
  <c r="T71" i="15"/>
  <c r="U71" i="15"/>
  <c r="S72" i="15"/>
  <c r="T72" i="15"/>
  <c r="U72" i="15"/>
  <c r="S73" i="15"/>
  <c r="T73" i="15"/>
  <c r="U73" i="15"/>
  <c r="S74" i="15"/>
  <c r="T74" i="15"/>
  <c r="U74" i="15"/>
  <c r="S75" i="15"/>
  <c r="T75" i="15"/>
  <c r="U75" i="15"/>
  <c r="S76" i="15"/>
  <c r="T76" i="15"/>
  <c r="U76" i="15"/>
  <c r="S77" i="15"/>
  <c r="T77" i="15"/>
  <c r="U77" i="15"/>
  <c r="S78" i="15"/>
  <c r="T78" i="15"/>
  <c r="U78" i="15"/>
  <c r="S80" i="15"/>
  <c r="T80" i="15"/>
  <c r="U80" i="15"/>
  <c r="S81" i="15"/>
  <c r="T81" i="15"/>
  <c r="U81" i="15"/>
  <c r="S82" i="15"/>
  <c r="T82" i="15"/>
  <c r="U82" i="15"/>
  <c r="S83" i="15"/>
  <c r="T83" i="15"/>
  <c r="U83" i="15"/>
  <c r="S84" i="15"/>
  <c r="T84" i="15"/>
  <c r="U84" i="15"/>
  <c r="S85" i="15"/>
  <c r="T85" i="15"/>
  <c r="U85" i="15"/>
  <c r="S86" i="15"/>
  <c r="T86" i="15"/>
  <c r="U86" i="15"/>
  <c r="S87" i="15"/>
  <c r="T87" i="15"/>
  <c r="U87" i="15"/>
  <c r="S88" i="15"/>
  <c r="T88" i="15"/>
  <c r="U88" i="15"/>
  <c r="S89" i="15"/>
  <c r="T89" i="15"/>
  <c r="U89" i="15"/>
  <c r="S90" i="15"/>
  <c r="T90" i="15"/>
  <c r="U90" i="15"/>
  <c r="S91" i="15"/>
  <c r="T91" i="15"/>
  <c r="U91" i="15"/>
  <c r="S92" i="15"/>
  <c r="T92" i="15"/>
  <c r="U92" i="15"/>
  <c r="S93" i="15"/>
  <c r="T93" i="15"/>
  <c r="U93" i="15"/>
  <c r="S94" i="15"/>
  <c r="T94" i="15"/>
  <c r="U94" i="15"/>
  <c r="S95" i="15"/>
  <c r="T95" i="15"/>
  <c r="U95" i="15"/>
  <c r="S96" i="15"/>
  <c r="T96" i="15"/>
  <c r="U96" i="15"/>
  <c r="S97" i="15"/>
  <c r="T97" i="15"/>
  <c r="U97" i="15"/>
  <c r="S98" i="15"/>
  <c r="T98" i="15"/>
  <c r="U98" i="15"/>
  <c r="S99" i="15"/>
  <c r="T99" i="15"/>
  <c r="U99" i="15"/>
  <c r="S100" i="15"/>
  <c r="T100" i="15"/>
  <c r="U100" i="15"/>
  <c r="S101" i="15"/>
  <c r="T101" i="15"/>
  <c r="U101" i="15"/>
  <c r="S102" i="15"/>
  <c r="T102" i="15"/>
  <c r="U102" i="15"/>
  <c r="S103" i="15"/>
  <c r="T103" i="15"/>
  <c r="U103" i="15"/>
  <c r="S104" i="15"/>
  <c r="T104" i="15"/>
  <c r="U104" i="15"/>
  <c r="S105" i="15"/>
  <c r="T105" i="15"/>
  <c r="U105" i="15"/>
  <c r="S106" i="15"/>
  <c r="T106" i="15"/>
  <c r="U106" i="15"/>
  <c r="S107" i="15"/>
  <c r="T107" i="15"/>
  <c r="U107" i="15"/>
  <c r="S108" i="15"/>
  <c r="T108" i="15"/>
  <c r="U108" i="15"/>
  <c r="S109" i="15"/>
  <c r="T109" i="15"/>
  <c r="U109" i="15"/>
  <c r="S110" i="15"/>
  <c r="T110" i="15"/>
  <c r="U110" i="15"/>
  <c r="S112" i="15"/>
  <c r="T112" i="15"/>
  <c r="U112" i="15"/>
  <c r="S113" i="15"/>
  <c r="T113" i="15"/>
  <c r="U113" i="15"/>
  <c r="S114" i="15"/>
  <c r="T114" i="15"/>
  <c r="U114" i="15"/>
  <c r="S115" i="15"/>
  <c r="T115" i="15"/>
  <c r="U115" i="15"/>
  <c r="S116" i="15"/>
  <c r="T116" i="15"/>
  <c r="U116" i="15"/>
  <c r="S117" i="15"/>
  <c r="T117" i="15"/>
  <c r="U117" i="15"/>
  <c r="S118" i="15"/>
  <c r="T118" i="15"/>
  <c r="U118" i="15"/>
  <c r="S119" i="15"/>
  <c r="T119" i="15"/>
  <c r="U119" i="15"/>
  <c r="S120" i="15"/>
  <c r="T120" i="15"/>
  <c r="U120" i="15"/>
  <c r="S121" i="15"/>
  <c r="T121" i="15"/>
  <c r="U121" i="15"/>
  <c r="S122" i="15"/>
  <c r="T122" i="15"/>
  <c r="U122" i="15"/>
  <c r="S123" i="15"/>
  <c r="T123" i="15"/>
  <c r="U123" i="15"/>
  <c r="S124" i="15"/>
  <c r="T124" i="15"/>
  <c r="U124" i="15"/>
  <c r="S126" i="15"/>
  <c r="T126" i="15"/>
  <c r="U126" i="15"/>
  <c r="S127" i="15"/>
  <c r="T127" i="15"/>
  <c r="U127" i="15"/>
  <c r="S128" i="15"/>
  <c r="T128" i="15"/>
  <c r="U128" i="15"/>
  <c r="S129" i="15"/>
  <c r="T129" i="15"/>
  <c r="U129" i="15"/>
  <c r="S136" i="15"/>
  <c r="T136" i="15"/>
  <c r="U136" i="15"/>
  <c r="S137" i="15"/>
  <c r="T137" i="15"/>
  <c r="U137" i="15"/>
  <c r="R5" i="15"/>
  <c r="S5" i="15" s="1"/>
  <c r="R6" i="15"/>
  <c r="L6" i="15"/>
  <c r="P6" i="15"/>
  <c r="Q6" i="15"/>
  <c r="J6" i="15"/>
  <c r="O6" i="15"/>
  <c r="N6" i="15"/>
  <c r="M6" i="15"/>
  <c r="K6" i="15"/>
  <c r="W6" i="15" l="1"/>
  <c r="X6" i="15"/>
  <c r="Y6" i="15"/>
  <c r="Z6" i="15"/>
  <c r="AA6" i="15"/>
  <c r="AB6" i="15"/>
  <c r="AC6" i="15"/>
  <c r="AD6" i="15"/>
  <c r="AE6" i="15"/>
  <c r="AF6" i="15"/>
  <c r="AG6" i="15"/>
  <c r="AH6" i="15"/>
  <c r="V24" i="15"/>
  <c r="AI137" i="15"/>
  <c r="AI136" i="15"/>
  <c r="AI135" i="15"/>
  <c r="AI134" i="15"/>
  <c r="AI133" i="15"/>
  <c r="AI132" i="15"/>
  <c r="AI131" i="15"/>
  <c r="AI130" i="15"/>
  <c r="AI129" i="15"/>
  <c r="AI128" i="15"/>
  <c r="AI127" i="15"/>
  <c r="AI126" i="15"/>
  <c r="AI125" i="15"/>
  <c r="AI124" i="15"/>
  <c r="AI123" i="15"/>
  <c r="AI122" i="15"/>
  <c r="AI121" i="15"/>
  <c r="AI120" i="15"/>
  <c r="AI119" i="15"/>
  <c r="AI118" i="15"/>
  <c r="AI117" i="15"/>
  <c r="AI116" i="15"/>
  <c r="AI115" i="15"/>
  <c r="AI114" i="15"/>
  <c r="AI113" i="15"/>
  <c r="AI112" i="15"/>
  <c r="AI111" i="15"/>
  <c r="AI110" i="15"/>
  <c r="AI109" i="15"/>
  <c r="AI108" i="15"/>
  <c r="AI107" i="15"/>
  <c r="AI106" i="15"/>
  <c r="AI105" i="15"/>
  <c r="AI104" i="15"/>
  <c r="AI103" i="15"/>
  <c r="AI102" i="15"/>
  <c r="AI101" i="15"/>
  <c r="AI100" i="15"/>
  <c r="AI99" i="15"/>
  <c r="AI98" i="15"/>
  <c r="AI97" i="15"/>
  <c r="AI96" i="15"/>
  <c r="AI95" i="15"/>
  <c r="AI94" i="15"/>
  <c r="AI93" i="15"/>
  <c r="AI92" i="15"/>
  <c r="AI91" i="15"/>
  <c r="AI90" i="15"/>
  <c r="AI89" i="15"/>
  <c r="AI88" i="15"/>
  <c r="AI87" i="15"/>
  <c r="AI86" i="15"/>
  <c r="AI85" i="15"/>
  <c r="AI84" i="15"/>
  <c r="AI83" i="15"/>
  <c r="AI82" i="15"/>
  <c r="AI81" i="15"/>
  <c r="AI80" i="15"/>
  <c r="AI79" i="15"/>
  <c r="AI78" i="15"/>
  <c r="AI77" i="15"/>
  <c r="AI76" i="15"/>
  <c r="AI75" i="15"/>
  <c r="AI74" i="15"/>
  <c r="AI73" i="15"/>
  <c r="AI72" i="15"/>
  <c r="AI71" i="15"/>
  <c r="AI70" i="15"/>
  <c r="AI69" i="15"/>
  <c r="AI68" i="15"/>
  <c r="AI67" i="15"/>
  <c r="AI66" i="15"/>
  <c r="AI65" i="15"/>
  <c r="AI64" i="15"/>
  <c r="AI63" i="15"/>
  <c r="AI62" i="15"/>
  <c r="AI61" i="15"/>
  <c r="AI60" i="15"/>
  <c r="AI59" i="15"/>
  <c r="AI58" i="15"/>
  <c r="AI57" i="15"/>
  <c r="AI56" i="15"/>
  <c r="AI55" i="15"/>
  <c r="AI54" i="15"/>
  <c r="AI53" i="15"/>
  <c r="AI52" i="15"/>
  <c r="AI51" i="15"/>
  <c r="AI50" i="15"/>
  <c r="AI49" i="15"/>
  <c r="AI48" i="15"/>
  <c r="AI47" i="15"/>
  <c r="AI46" i="15"/>
  <c r="AI45" i="15"/>
  <c r="AI44" i="15"/>
  <c r="AI43" i="15"/>
  <c r="AI42" i="15"/>
  <c r="AI41" i="15"/>
  <c r="AI40" i="15"/>
  <c r="AI39" i="15"/>
  <c r="AI38" i="15"/>
  <c r="AI37" i="15"/>
  <c r="AI36" i="15"/>
  <c r="AI35" i="15"/>
  <c r="AI34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S6" i="15"/>
  <c r="T6" i="15"/>
  <c r="U6" i="15"/>
  <c r="X5" i="15"/>
  <c r="Y5" i="15"/>
  <c r="Z5" i="15"/>
  <c r="AA5" i="15"/>
  <c r="AB5" i="15"/>
  <c r="AC5" i="15"/>
  <c r="AD5" i="15"/>
  <c r="AE5" i="15"/>
  <c r="AF5" i="15"/>
  <c r="AG5" i="15"/>
  <c r="AH5" i="15"/>
  <c r="W5" i="15"/>
  <c r="AI5" i="15" s="1"/>
  <c r="T5" i="15"/>
  <c r="U5" i="15"/>
  <c r="V137" i="15"/>
  <c r="V136" i="15"/>
  <c r="V129" i="15"/>
  <c r="V128" i="15"/>
  <c r="V127" i="15"/>
  <c r="V126" i="15"/>
  <c r="V124" i="15"/>
  <c r="V123" i="15"/>
  <c r="V122" i="15"/>
  <c r="V121" i="15"/>
  <c r="V120" i="15"/>
  <c r="V119" i="15"/>
  <c r="V118" i="15"/>
  <c r="V117" i="15"/>
  <c r="V116" i="15"/>
  <c r="V115" i="15"/>
  <c r="V114" i="15"/>
  <c r="V113" i="15"/>
  <c r="V112" i="15"/>
  <c r="V110" i="15"/>
  <c r="V108" i="15"/>
  <c r="V107" i="15"/>
  <c r="V106" i="15"/>
  <c r="V105" i="15"/>
  <c r="V104" i="15"/>
  <c r="V103" i="15"/>
  <c r="V101" i="15"/>
  <c r="V100" i="15"/>
  <c r="V99" i="15"/>
  <c r="V98" i="15"/>
  <c r="V97" i="15"/>
  <c r="V96" i="15"/>
  <c r="V95" i="15"/>
  <c r="V94" i="15"/>
  <c r="V93" i="15"/>
  <c r="V92" i="15"/>
  <c r="V91" i="15"/>
  <c r="V90" i="15"/>
  <c r="V89" i="15"/>
  <c r="V88" i="15"/>
  <c r="V87" i="15"/>
  <c r="V86" i="15"/>
  <c r="V85" i="15"/>
  <c r="V84" i="15"/>
  <c r="V83" i="15"/>
  <c r="V82" i="15"/>
  <c r="V81" i="15"/>
  <c r="V80" i="15"/>
  <c r="V78" i="15"/>
  <c r="V77" i="15"/>
  <c r="V76" i="15"/>
  <c r="V75" i="15"/>
  <c r="V74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V61" i="15"/>
  <c r="V60" i="15"/>
  <c r="V59" i="15"/>
  <c r="V58" i="15"/>
  <c r="V57" i="15"/>
  <c r="V56" i="15"/>
  <c r="V55" i="15"/>
  <c r="V54" i="15"/>
  <c r="V53" i="15"/>
  <c r="V52" i="15"/>
  <c r="V51" i="15"/>
  <c r="V50" i="15"/>
  <c r="V49" i="15"/>
  <c r="V48" i="15"/>
  <c r="V47" i="15"/>
  <c r="V46" i="15"/>
  <c r="V45" i="15"/>
  <c r="V44" i="15"/>
  <c r="V43" i="15"/>
  <c r="V42" i="15"/>
  <c r="V41" i="15"/>
  <c r="V40" i="15"/>
  <c r="V39" i="15"/>
  <c r="V38" i="15"/>
  <c r="V37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4" i="15"/>
  <c r="AI4" i="15"/>
  <c r="J2" i="15"/>
  <c r="AI6" i="15" l="1"/>
  <c r="V6" i="15"/>
  <c r="L2" i="15"/>
  <c r="V5" i="15" l="1"/>
  <c r="K2" i="15" l="1"/>
  <c r="M2" i="15" l="1"/>
  <c r="N2" i="15" l="1"/>
  <c r="O2" i="15" l="1"/>
  <c r="P2" i="15" l="1"/>
  <c r="W2" i="15" l="1"/>
  <c r="Z2" i="15"/>
  <c r="Y2" i="15"/>
  <c r="X2" i="15"/>
  <c r="AB2" i="15"/>
  <c r="Q2" i="15"/>
  <c r="AA2" i="15" l="1"/>
  <c r="AC2" i="15"/>
  <c r="R2" i="15"/>
  <c r="AD2" i="15" l="1"/>
  <c r="S2" i="15"/>
  <c r="AE2" i="15" l="1"/>
  <c r="U2" i="15"/>
  <c r="T2" i="15"/>
  <c r="V2" i="15" l="1"/>
  <c r="AF2" i="15"/>
  <c r="AG2" i="15" l="1"/>
  <c r="AH2" i="15" l="1"/>
  <c r="AI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Gariano, Joe R</author>
  </authors>
  <commentList>
    <comment ref="A3" authorId="0" shapeId="0" xr:uid="{A77F86EC-C58B-4D14-85C0-4A502BCA9D10}">
      <text>
        <r>
          <rPr>
            <sz val="9"/>
            <color indexed="81"/>
            <rFont val="Tahoma"/>
            <family val="2"/>
          </rPr>
          <t>The actuals in this row are the charges from the ADI Rationale spreadsheet. The actual ADI charges each month are slightly different (usually a few $K) because the timing of the AWS invoices results in a slight difference each month in what was used and what was billed.</t>
        </r>
      </text>
    </comment>
    <comment ref="D3" authorId="0" shapeId="0" xr:uid="{BCCA14C8-F380-4467-B548-CE93E24DCC7E}">
      <text>
        <r>
          <rPr>
            <sz val="9"/>
            <color indexed="81"/>
            <rFont val="Tahoma"/>
            <family val="2"/>
          </rPr>
          <t>Parenthetical classifications for IT:
IT (SP) = IT procured savings plan
IT (ES) = IT procured AWS enterprise support
IT (I&amp;S) =IT adminstered infrastructure &amp; security
IT (C&amp;T) = IT hosted collaboration &amp; tools
IT (Other) = Other IT AWS usage</t>
        </r>
      </text>
    </comment>
    <comment ref="B6" authorId="0" shapeId="0" xr:uid="{BC4F179E-681E-4127-8675-5A47896371C2}">
      <text>
        <r>
          <rPr>
            <sz val="9"/>
            <color indexed="81"/>
            <rFont val="Tahoma"/>
            <family val="2"/>
          </rPr>
          <t>This is the master payer account usage minus the enterprise support.</t>
        </r>
      </text>
    </comment>
  </commentList>
</comments>
</file>

<file path=xl/sharedStrings.xml><?xml version="1.0" encoding="utf-8"?>
<sst xmlns="http://schemas.openxmlformats.org/spreadsheetml/2006/main" count="732" uniqueCount="317">
  <si>
    <t>Enclave ID</t>
  </si>
  <si>
    <t>Account Name</t>
  </si>
  <si>
    <t>Project Type</t>
  </si>
  <si>
    <t>LOB</t>
  </si>
  <si>
    <t>Dept #</t>
  </si>
  <si>
    <t>Proj #</t>
  </si>
  <si>
    <t>Task #</t>
  </si>
  <si>
    <t>Gov Acct ID</t>
  </si>
  <si>
    <t>Com Acct ID</t>
  </si>
  <si>
    <t>2025 Total</t>
  </si>
  <si>
    <t>2026 Total</t>
  </si>
  <si>
    <t>GDMS Cloud - Savings Plan</t>
  </si>
  <si>
    <t>Overhead Funded Effort</t>
  </si>
  <si>
    <t>IT (SP)</t>
  </si>
  <si>
    <t>DE158</t>
  </si>
  <si>
    <t>205950196477</t>
  </si>
  <si>
    <t>GDMS Cloud - Enterprise Support</t>
  </si>
  <si>
    <t>IT (ES)</t>
  </si>
  <si>
    <t>GDMS Cloud - Landing Zone Core</t>
  </si>
  <si>
    <t>IT (I&amp;S)</t>
  </si>
  <si>
    <t>GDMS Cloud - Dev Environment</t>
  </si>
  <si>
    <t>HART AWS</t>
  </si>
  <si>
    <t>Business IRAD</t>
  </si>
  <si>
    <t>Cyber</t>
  </si>
  <si>
    <t>536329779773</t>
  </si>
  <si>
    <t>003194893154</t>
  </si>
  <si>
    <t>Nosis</t>
  </si>
  <si>
    <t>Contract</t>
  </si>
  <si>
    <t>MSS</t>
  </si>
  <si>
    <t>009160071706</t>
  </si>
  <si>
    <t>HammerHead Encapsulated Effector</t>
  </si>
  <si>
    <t>885456383321</t>
  </si>
  <si>
    <t>012338769255</t>
  </si>
  <si>
    <t>Common Path VPN</t>
  </si>
  <si>
    <t>LAS</t>
  </si>
  <si>
    <t>663003480423</t>
  </si>
  <si>
    <t>019689638286</t>
  </si>
  <si>
    <t>DevSecOps - Engineering Solutions - Staging Area</t>
  </si>
  <si>
    <t>IT (Other)</t>
  </si>
  <si>
    <t>DT509</t>
  </si>
  <si>
    <t>010978</t>
  </si>
  <si>
    <t>0201</t>
  </si>
  <si>
    <t>034412072647</t>
  </si>
  <si>
    <t>SDA GMI T2 Battle Apps</t>
  </si>
  <si>
    <t>SC&amp;I</t>
  </si>
  <si>
    <t>037655796343</t>
  </si>
  <si>
    <t>AWS ConMon Testing and Development</t>
  </si>
  <si>
    <t>037657589395</t>
  </si>
  <si>
    <t>P.I. Data Science Sensitive</t>
  </si>
  <si>
    <t>041148748626</t>
  </si>
  <si>
    <t>GVR5 Test and Demonstrations</t>
  </si>
  <si>
    <t>045430592982</t>
  </si>
  <si>
    <t>Digital Modular Radio</t>
  </si>
  <si>
    <t>050664780879</t>
  </si>
  <si>
    <t>AI-ML Training Environment</t>
  </si>
  <si>
    <t>058264379147</t>
  </si>
  <si>
    <t>Machine Learning Data Readiness</t>
  </si>
  <si>
    <t>228934728172</t>
  </si>
  <si>
    <t>067819946678</t>
  </si>
  <si>
    <t>Dance Monkey AWS</t>
  </si>
  <si>
    <t>110317593805</t>
  </si>
  <si>
    <t>Cloud Admin Shared Services</t>
  </si>
  <si>
    <t>125769416271</t>
  </si>
  <si>
    <t>Dedicated Enclave Network - Minnesota (DEN-MN)</t>
  </si>
  <si>
    <t>129471124038</t>
  </si>
  <si>
    <t>R21 ADAM IRAD</t>
  </si>
  <si>
    <t>130575761367</t>
  </si>
  <si>
    <t>GDMS-C BattleLab</t>
  </si>
  <si>
    <t>DZ920</t>
  </si>
  <si>
    <t>140023379075</t>
  </si>
  <si>
    <t>Pitbull MLS in AWS GovCloud</t>
  </si>
  <si>
    <t>143468284131</t>
  </si>
  <si>
    <t>NGC2</t>
  </si>
  <si>
    <t>161029951892</t>
  </si>
  <si>
    <t>DMR Linux Development Environment AWS</t>
  </si>
  <si>
    <t>187916388246</t>
  </si>
  <si>
    <t>SIS ASIC-FPGA Engineering Core</t>
  </si>
  <si>
    <t>SIS</t>
  </si>
  <si>
    <t>051207431575</t>
  </si>
  <si>
    <t>AWS Crete</t>
  </si>
  <si>
    <t>210150738962</t>
  </si>
  <si>
    <t>HammerHead</t>
  </si>
  <si>
    <t>211125747794</t>
  </si>
  <si>
    <t>Disruptive Radio Team</t>
  </si>
  <si>
    <t>211465689315</t>
  </si>
  <si>
    <t>Virtual Modem - AWS</t>
  </si>
  <si>
    <t>216587568416</t>
  </si>
  <si>
    <t>Android Exploration</t>
  </si>
  <si>
    <t>216939325419</t>
  </si>
  <si>
    <t>IT LAA Cloud Testing Grounds</t>
  </si>
  <si>
    <t>173371348035</t>
  </si>
  <si>
    <t>217482272485</t>
  </si>
  <si>
    <t>SSE-COE Penetration Testing Lab</t>
  </si>
  <si>
    <t>218539835580</t>
  </si>
  <si>
    <t>STRMS Customer Acceptance</t>
  </si>
  <si>
    <t>221082182620</t>
  </si>
  <si>
    <t>Secure Mesh Proof of Concept</t>
  </si>
  <si>
    <t>175516498240</t>
  </si>
  <si>
    <t>221699213472</t>
  </si>
  <si>
    <t>R-GPS</t>
  </si>
  <si>
    <t>235494804476</t>
  </si>
  <si>
    <t>NGI IRAD</t>
  </si>
  <si>
    <t>241103530751</t>
  </si>
  <si>
    <t>IT Architecture and Engineering Development Space</t>
  </si>
  <si>
    <t>473979297160</t>
  </si>
  <si>
    <t>244119672776</t>
  </si>
  <si>
    <t>MLS Lab</t>
  </si>
  <si>
    <t>244184125976</t>
  </si>
  <si>
    <t>DevSecOps - Engineering Solutions - Development</t>
  </si>
  <si>
    <t>823835833321</t>
  </si>
  <si>
    <t>246920780480</t>
  </si>
  <si>
    <t>GDMS Account Monitoring</t>
  </si>
  <si>
    <t>253821132832</t>
  </si>
  <si>
    <t>Engineering Apps Team</t>
  </si>
  <si>
    <t>259559745581</t>
  </si>
  <si>
    <t>TAIS CYBER</t>
  </si>
  <si>
    <t>289348809927</t>
  </si>
  <si>
    <t>EasyPrint</t>
  </si>
  <si>
    <t>290859910614</t>
  </si>
  <si>
    <t>Rescue21 Development</t>
  </si>
  <si>
    <t>291613514982</t>
  </si>
  <si>
    <t>IT Enterprise</t>
  </si>
  <si>
    <t>DT328</t>
  </si>
  <si>
    <t>293442077836</t>
  </si>
  <si>
    <t>Nosis - Production</t>
  </si>
  <si>
    <t>206342484538</t>
  </si>
  <si>
    <t>296062560530</t>
  </si>
  <si>
    <t>Odyssey AWS</t>
  </si>
  <si>
    <t>305334671483</t>
  </si>
  <si>
    <t>EasyPrint Dev</t>
  </si>
  <si>
    <t>312772915623</t>
  </si>
  <si>
    <t>IT DE-155</t>
  </si>
  <si>
    <t>318151069696</t>
  </si>
  <si>
    <t>GDMS ITCS SOC Government Account</t>
  </si>
  <si>
    <t>324184907656</t>
  </si>
  <si>
    <t>TLS-EAB</t>
  </si>
  <si>
    <t>Proposal</t>
  </si>
  <si>
    <t>326182767213</t>
  </si>
  <si>
    <t>SDA T1OI Collab</t>
  </si>
  <si>
    <t>342098688653</t>
  </si>
  <si>
    <t>Millburn-Platform</t>
  </si>
  <si>
    <t>376134534092</t>
  </si>
  <si>
    <t>Dragonfly Unclassified Enclave</t>
  </si>
  <si>
    <t>381491923435</t>
  </si>
  <si>
    <t>RedX Radio AWS</t>
  </si>
  <si>
    <t>401218918467</t>
  </si>
  <si>
    <t>Zero Trust in Remote Weapons Control</t>
  </si>
  <si>
    <t>413492563174</t>
  </si>
  <si>
    <t>DevSecOps - Engineering Solutions</t>
  </si>
  <si>
    <t>IT (C&amp;T)</t>
  </si>
  <si>
    <t>421807386158</t>
  </si>
  <si>
    <t>MUOS DevSecOps Sandbox</t>
  </si>
  <si>
    <t>611620084529</t>
  </si>
  <si>
    <t>430495484127</t>
  </si>
  <si>
    <t>Crooked Stick</t>
  </si>
  <si>
    <t>435823235287</t>
  </si>
  <si>
    <t>External Access VPC</t>
  </si>
  <si>
    <t>437592921847</t>
  </si>
  <si>
    <t>MaC Application Cloud Migration</t>
  </si>
  <si>
    <t>155841723051</t>
  </si>
  <si>
    <t>438194382682</t>
  </si>
  <si>
    <t>ETES – Dev</t>
  </si>
  <si>
    <t>442843688863</t>
  </si>
  <si>
    <t>SDA T2 GMI Common Services</t>
  </si>
  <si>
    <t>445567113911</t>
  </si>
  <si>
    <t>Forge C2</t>
  </si>
  <si>
    <t>361756527762</t>
  </si>
  <si>
    <t>456056055013</t>
  </si>
  <si>
    <t>Mosaic</t>
  </si>
  <si>
    <t>462935997978</t>
  </si>
  <si>
    <t>Helios IRAD - Apollo AWS</t>
  </si>
  <si>
    <t>C2 Product Line</t>
  </si>
  <si>
    <t>498656477796</t>
  </si>
  <si>
    <t>Marion_Autoclave_ML_Project</t>
  </si>
  <si>
    <t>706527977926</t>
  </si>
  <si>
    <t>506893046654</t>
  </si>
  <si>
    <t>Operational Applications Database Services</t>
  </si>
  <si>
    <t>529364941413</t>
  </si>
  <si>
    <t>Shipboard Information Technology - SBIT</t>
  </si>
  <si>
    <t>533267342033</t>
  </si>
  <si>
    <t>Bluefin</t>
  </si>
  <si>
    <t>533941924727</t>
  </si>
  <si>
    <t>Bowman</t>
  </si>
  <si>
    <t>SDA T1OI DevSecOps</t>
  </si>
  <si>
    <t>545417781752</t>
  </si>
  <si>
    <t>NITSS CET Tools Collab</t>
  </si>
  <si>
    <t>574067620383</t>
  </si>
  <si>
    <t>Providence</t>
  </si>
  <si>
    <t>238346342871</t>
  </si>
  <si>
    <t>563696677897</t>
  </si>
  <si>
    <t>truMLS/PitBull Training Environment</t>
  </si>
  <si>
    <t>DB311</t>
  </si>
  <si>
    <t>Custom Operations Sandbox</t>
  </si>
  <si>
    <t>Manufacturing Vision System</t>
  </si>
  <si>
    <t>602915757856</t>
  </si>
  <si>
    <t>SAWSE Operations Sandbox</t>
  </si>
  <si>
    <t>605185459282</t>
  </si>
  <si>
    <t>Shadow Labs Team Swim</t>
  </si>
  <si>
    <t>500003449292</t>
  </si>
  <si>
    <t>618771345823</t>
  </si>
  <si>
    <t>XM30</t>
  </si>
  <si>
    <t>626575015579</t>
  </si>
  <si>
    <t>SDA GMI T2 Tracking</t>
  </si>
  <si>
    <t>635111680512</t>
  </si>
  <si>
    <t>GMI Platform Development</t>
  </si>
  <si>
    <t>637423298994</t>
  </si>
  <si>
    <t>Huntmar Internship</t>
  </si>
  <si>
    <t>640474423227</t>
  </si>
  <si>
    <t>Fortress-AWS</t>
  </si>
  <si>
    <t>648145214474</t>
  </si>
  <si>
    <t>Armored Formation Network - Cloud Enclave</t>
  </si>
  <si>
    <t>654654174547</t>
  </si>
  <si>
    <t>Torpedo Software</t>
  </si>
  <si>
    <t>676206913374</t>
  </si>
  <si>
    <t>TSS Development AWS</t>
  </si>
  <si>
    <t>677276120873</t>
  </si>
  <si>
    <t>TONKA - SM</t>
  </si>
  <si>
    <t>689539828696</t>
  </si>
  <si>
    <t>Global ASNT</t>
  </si>
  <si>
    <t>697250937946</t>
  </si>
  <si>
    <t>AWS Training for Route 66 Cyber</t>
  </si>
  <si>
    <t>706238839820</t>
  </si>
  <si>
    <t>AC3 Demo AWS</t>
  </si>
  <si>
    <t>711387112967</t>
  </si>
  <si>
    <t>IT Manufacturing Learning</t>
  </si>
  <si>
    <t>713890448745</t>
  </si>
  <si>
    <t>BAE SNS Risk Reduction</t>
  </si>
  <si>
    <t>751663800121</t>
  </si>
  <si>
    <t>IT Storage Archive</t>
  </si>
  <si>
    <t>754995649050</t>
  </si>
  <si>
    <t>LAS-APNT-CLD</t>
  </si>
  <si>
    <t>767397758347</t>
  </si>
  <si>
    <t>Data Management</t>
  </si>
  <si>
    <t>767397810051</t>
  </si>
  <si>
    <t>IEWTPT AWS</t>
  </si>
  <si>
    <t>795010465965</t>
  </si>
  <si>
    <t>Batman</t>
  </si>
  <si>
    <t>798555099118</t>
  </si>
  <si>
    <t>muos-csel-protected</t>
  </si>
  <si>
    <t>799984316609</t>
  </si>
  <si>
    <t>Capstone Program</t>
  </si>
  <si>
    <t>814304444943</t>
  </si>
  <si>
    <t>Deep Learning Analytics</t>
  </si>
  <si>
    <t>826118920573</t>
  </si>
  <si>
    <t>BRSE TRANSEC Application Development</t>
  </si>
  <si>
    <t>842675991045</t>
  </si>
  <si>
    <t>York BMC3 Tranche 0</t>
  </si>
  <si>
    <t>846612269675</t>
  </si>
  <si>
    <t>Engineering Initiatives Architecture</t>
  </si>
  <si>
    <t>392405523190</t>
  </si>
  <si>
    <t>852640672747</t>
  </si>
  <si>
    <t>SDR Public Development Environment</t>
  </si>
  <si>
    <t>856677443639</t>
  </si>
  <si>
    <t>MUOS AWS DEV</t>
  </si>
  <si>
    <t>867330585869</t>
  </si>
  <si>
    <t>Cyber Security Enclave (CSE)</t>
  </si>
  <si>
    <t>DB302</t>
  </si>
  <si>
    <t>868857807111</t>
  </si>
  <si>
    <t>Nuclear Monitoring</t>
  </si>
  <si>
    <t>871443688495</t>
  </si>
  <si>
    <t>Dedicated Enclave Network AWS</t>
  </si>
  <si>
    <t>873088887817</t>
  </si>
  <si>
    <t>Rescue 21 DevSecOps</t>
  </si>
  <si>
    <t>160492773549</t>
  </si>
  <si>
    <t>876868644102</t>
  </si>
  <si>
    <t>Engineering training - truMLS</t>
  </si>
  <si>
    <t>879433378092</t>
  </si>
  <si>
    <t>GEM One</t>
  </si>
  <si>
    <t>879826606783</t>
  </si>
  <si>
    <t>SDA GMI T2 INT Apps</t>
  </si>
  <si>
    <t>879981264677</t>
  </si>
  <si>
    <t>ETES</t>
  </si>
  <si>
    <t>884493075235</t>
  </si>
  <si>
    <t>GeoSuite CTSO Enclave</t>
  </si>
  <si>
    <t>884685493825</t>
  </si>
  <si>
    <t>GDMS AMIBuilder</t>
  </si>
  <si>
    <t>887205948966</t>
  </si>
  <si>
    <t>GDMS Account Auditing</t>
  </si>
  <si>
    <t>887522691420</t>
  </si>
  <si>
    <t>IPES</t>
  </si>
  <si>
    <t>888577037013</t>
  </si>
  <si>
    <t>SigIntAWS</t>
  </si>
  <si>
    <t>891376932264</t>
  </si>
  <si>
    <t>LAA truMLS</t>
  </si>
  <si>
    <t>891612575386</t>
  </si>
  <si>
    <t>GDMS Canada GAIA</t>
  </si>
  <si>
    <t>331548921633</t>
  </si>
  <si>
    <t>904233101532</t>
  </si>
  <si>
    <t>Secure Network Space Processor</t>
  </si>
  <si>
    <t>905418467834</t>
  </si>
  <si>
    <t>Software Engineering Solutions</t>
  </si>
  <si>
    <t>906234452947</t>
  </si>
  <si>
    <t>San Jose Engineering</t>
  </si>
  <si>
    <t>922357275013</t>
  </si>
  <si>
    <t>truMLS Demo Environment</t>
  </si>
  <si>
    <t>967802823695</t>
  </si>
  <si>
    <t>GDMS-C Pilot KnoMa</t>
  </si>
  <si>
    <t>263585278702</t>
  </si>
  <si>
    <t>970802500119</t>
  </si>
  <si>
    <t>VATE AWS</t>
  </si>
  <si>
    <t>975050118224</t>
  </si>
  <si>
    <t>CTEN Collaboration</t>
  </si>
  <si>
    <t>239191060486</t>
  </si>
  <si>
    <t>981115336165</t>
  </si>
  <si>
    <t>Lego (Nephology)</t>
  </si>
  <si>
    <t>981805577409</t>
  </si>
  <si>
    <t>HC Cloud Technologies IRAD</t>
  </si>
  <si>
    <t>478888925771</t>
  </si>
  <si>
    <t>982655571577</t>
  </si>
  <si>
    <t>Software Factory Convergence Sandbox</t>
  </si>
  <si>
    <t>DT302</t>
  </si>
  <si>
    <t>125795823039</t>
  </si>
  <si>
    <t>992382361640</t>
  </si>
  <si>
    <t>ARV AWS</t>
  </si>
  <si>
    <t>997799460670</t>
  </si>
  <si>
    <t>Trans Viz</t>
  </si>
  <si>
    <t>998497643553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</si>
</sst>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_(&quot;$&quot;* #,##0_);_(&quot;$&quot;* \(#,##0\);_(&quot;$&quot;* &quot;-&quot;??_);_(@_)"/>
    <numFmt numFmtId="166" formatCode="000000000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Aptos Narrow"/>
      <family val="2"/>
    </font>
    <font>
      <sz val="11"/>
      <color theme="0" tint="-0.249977111117893"/>
      <name val="Calibri"/>
      <family val="2"/>
    </font>
    <font>
      <sz val="11"/>
      <color theme="0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4" fillId="0" borderId="0"/>
  </cellStyleXfs>
  <cellXfs count="50">
    <xf numFmtId="0" fontId="0" fillId="0" borderId="0" xfId="0"/>
    <xf numFmtId="0" fontId="18" fillId="0" borderId="0" xfId="42"/>
    <xf numFmtId="0" fontId="18" fillId="0" borderId="11" xfId="42" applyBorder="1"/>
    <xf numFmtId="1" fontId="18" fillId="0" borderId="0" xfId="42" applyNumberFormat="1"/>
    <xf numFmtId="0" fontId="20" fillId="0" borderId="0" xfId="0" applyFont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18" fillId="0" borderId="0" xfId="42" quotePrefix="1"/>
    <xf numFmtId="166" fontId="0" fillId="0" borderId="0" xfId="0" quotePrefix="1" applyNumberFormat="1"/>
    <xf numFmtId="0" fontId="0" fillId="0" borderId="0" xfId="0"/>
    <xf numFmtId="0" fontId="18" fillId="0" borderId="0" xfId="42" applyFont="1"/>
    <xf numFmtId="165" fontId="0" fillId="33" borderId="0" xfId="0" applyNumberFormat="1" applyFill="1" applyBorder="1"/>
    <xf numFmtId="165" fontId="0" fillId="33" borderId="0" xfId="0" applyNumberFormat="1" applyFont="1" applyFill="1" applyBorder="1"/>
    <xf numFmtId="164" fontId="16" fillId="33" borderId="11" xfId="0" applyNumberFormat="1" applyFont="1" applyFill="1" applyBorder="1"/>
    <xf numFmtId="165" fontId="23" fillId="33" borderId="0" xfId="0" applyNumberFormat="1" applyFont="1" applyFill="1" applyBorder="1"/>
    <xf numFmtId="0" fontId="0" fillId="0" borderId="0" xfId="0"/>
    <xf numFmtId="1" fontId="18" fillId="0" borderId="0" xfId="42" applyNumberFormat="1" applyFont="1"/>
    <xf numFmtId="165" fontId="0" fillId="34" borderId="10" xfId="0" applyNumberFormat="1" applyFill="1" applyBorder="1"/>
    <xf numFmtId="165" fontId="0" fillId="34" borderId="0" xfId="0" applyNumberFormat="1" applyFont="1" applyFill="1" applyBorder="1"/>
    <xf numFmtId="165" fontId="0" fillId="34" borderId="10" xfId="0" applyNumberFormat="1" applyFont="1" applyFill="1" applyBorder="1"/>
    <xf numFmtId="164" fontId="16" fillId="34" borderId="12" xfId="0" applyNumberFormat="1" applyFont="1" applyFill="1" applyBorder="1"/>
    <xf numFmtId="165" fontId="22" fillId="34" borderId="10" xfId="0" applyNumberFormat="1" applyFont="1" applyFill="1" applyBorder="1"/>
    <xf numFmtId="165" fontId="0" fillId="33" borderId="10" xfId="0" applyNumberFormat="1" applyFont="1" applyFill="1" applyBorder="1"/>
    <xf numFmtId="1" fontId="22" fillId="0" borderId="0" xfId="0" applyNumberFormat="1" applyFont="1" applyAlignment="1">
      <alignment horizontal="left" vertical="center"/>
    </xf>
    <xf numFmtId="165" fontId="0" fillId="34" borderId="0" xfId="0" applyNumberFormat="1" applyFill="1" applyBorder="1"/>
    <xf numFmtId="165" fontId="22" fillId="34" borderId="0" xfId="0" applyNumberFormat="1" applyFont="1" applyFill="1" applyBorder="1"/>
    <xf numFmtId="164" fontId="16" fillId="34" borderId="11" xfId="0" applyNumberFormat="1" applyFont="1" applyFill="1" applyBorder="1"/>
    <xf numFmtId="1" fontId="25" fillId="0" borderId="0" xfId="42" applyNumberFormat="1" applyFont="1"/>
    <xf numFmtId="0" fontId="25" fillId="0" borderId="0" xfId="42" applyFont="1"/>
    <xf numFmtId="0" fontId="26" fillId="0" borderId="0" xfId="0" applyFont="1" applyAlignment="1">
      <alignment horizontal="left" vertical="center"/>
    </xf>
    <xf numFmtId="1" fontId="26" fillId="0" borderId="0" xfId="0" applyNumberFormat="1" applyFont="1" applyAlignment="1">
      <alignment horizontal="left" vertical="center"/>
    </xf>
    <xf numFmtId="0" fontId="16" fillId="33" borderId="14" xfId="0" applyFont="1" applyFill="1" applyBorder="1" applyAlignment="1">
      <alignment horizontal="right"/>
    </xf>
    <xf numFmtId="165" fontId="22" fillId="33" borderId="13" xfId="0" applyNumberFormat="1" applyFont="1" applyFill="1" applyBorder="1"/>
    <xf numFmtId="165" fontId="0" fillId="35" borderId="0" xfId="0" applyNumberFormat="1" applyFill="1" applyBorder="1"/>
    <xf numFmtId="165" fontId="0" fillId="35" borderId="0" xfId="0" applyNumberFormat="1" applyFont="1" applyFill="1" applyBorder="1"/>
    <xf numFmtId="164" fontId="16" fillId="35" borderId="11" xfId="0" applyNumberFormat="1" applyFont="1" applyFill="1" applyBorder="1"/>
    <xf numFmtId="165" fontId="0" fillId="35" borderId="10" xfId="0" applyNumberFormat="1" applyFont="1" applyFill="1" applyBorder="1"/>
    <xf numFmtId="165" fontId="0" fillId="35" borderId="15" xfId="0" applyNumberFormat="1" applyFont="1" applyFill="1" applyBorder="1"/>
    <xf numFmtId="165" fontId="22" fillId="35" borderId="13" xfId="0" applyNumberFormat="1" applyFont="1" applyFill="1" applyBorder="1"/>
    <xf numFmtId="0" fontId="26" fillId="0" borderId="0" xfId="0" quotePrefix="1" applyFont="1" applyAlignment="1">
      <alignment horizontal="left" vertical="center"/>
    </xf>
    <xf numFmtId="0" fontId="16" fillId="35" borderId="14" xfId="0" applyFont="1" applyFill="1" applyBorder="1" applyAlignment="1">
      <alignment horizontal="right"/>
    </xf>
    <xf numFmtId="0" fontId="0" fillId="0" borderId="15" xfId="0" applyBorder="1"/>
    <xf numFmtId="165" fontId="16" fillId="35" borderId="15" xfId="0" applyNumberFormat="1" applyFont="1" applyFill="1" applyBorder="1"/>
    <xf numFmtId="0" fontId="0" fillId="0" borderId="0" xfId="0"/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23" fillId="34" borderId="0" xfId="0" applyNumberFormat="1" applyFont="1" applyFill="1" applyBorder="1"/>
    <xf numFmtId="0" fontId="22" fillId="0" borderId="0" xfId="0" applyFont="1" applyAlignment="1">
      <alignment horizontal="left" vertical="center"/>
    </xf>
    <xf numFmtId="0" fontId="25" fillId="0" borderId="0" xfId="42" quotePrefix="1" applyFont="1"/>
    <xf numFmtId="1" fontId="26" fillId="0" borderId="0" xfId="0" quotePrefix="1" applyNumberFormat="1" applyFont="1" applyAlignment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1DC52A1B-84DC-4B3B-85F3-FB0C17837CA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  <color rgb="FF008000"/>
      <color rgb="FF0000FF"/>
      <color rgb="FF993300"/>
      <color rgb="FF009900"/>
      <color rgb="FF9E480E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E1BB-7895-42FC-A2B9-840ECD9FA99D}">
  <sheetPr codeName="Sheet2"/>
  <dimension ref="A1:AI138"/>
  <sheetViews>
    <sheetView tabSelected="1" workbookViewId="0">
      <pane xSplit="9" topLeftCell="S1" activePane="topRight" state="frozen"/>
      <selection pane="topRight" activeCell="S5" sqref="S5"/>
    </sheetView>
  </sheetViews>
  <sheetFormatPr defaultRowHeight="15"/>
  <cols>
    <col min="1" max="1" width="12.7109375" customWidth="1"/>
    <col min="2" max="2" width="42.42578125" customWidth="1"/>
    <col min="3" max="3" width="22.7109375" bestFit="1" customWidth="1"/>
    <col min="4" max="4" width="9.5703125" customWidth="1"/>
    <col min="5" max="5" width="7.85546875" customWidth="1"/>
    <col min="6" max="6" width="8" customWidth="1"/>
    <col min="7" max="7" width="7" customWidth="1"/>
    <col min="8" max="8" width="13.7109375" style="43" customWidth="1"/>
    <col min="9" max="9" width="13.7109375" customWidth="1"/>
    <col min="10" max="21" width="12.140625" style="9" customWidth="1"/>
    <col min="22" max="22" width="12.5703125" bestFit="1" customWidth="1"/>
    <col min="23" max="34" width="11.5703125" bestFit="1" customWidth="1"/>
    <col min="35" max="35" width="12.5703125" bestFit="1" customWidth="1"/>
  </cols>
  <sheetData>
    <row r="1" spans="1:35" s="15" customFormat="1">
      <c r="A1" s="43"/>
      <c r="B1" s="43"/>
      <c r="C1" s="43"/>
      <c r="D1" s="43"/>
      <c r="E1" s="43"/>
      <c r="F1" s="43"/>
      <c r="G1" s="43"/>
      <c r="H1" s="43"/>
      <c r="I1" s="43"/>
      <c r="J1" s="43">
        <v>1</v>
      </c>
      <c r="K1" s="43">
        <v>2</v>
      </c>
      <c r="L1" s="43">
        <v>3</v>
      </c>
      <c r="M1" s="43">
        <v>4</v>
      </c>
      <c r="N1" s="43">
        <v>5</v>
      </c>
      <c r="O1" s="43">
        <v>6</v>
      </c>
      <c r="P1" s="43">
        <v>7</v>
      </c>
      <c r="Q1" s="43">
        <v>8</v>
      </c>
      <c r="R1" s="43">
        <v>9</v>
      </c>
      <c r="S1" s="43">
        <v>10</v>
      </c>
      <c r="T1" s="43">
        <v>11</v>
      </c>
      <c r="U1" s="43">
        <v>12</v>
      </c>
      <c r="V1" s="43"/>
      <c r="W1" s="43">
        <v>13</v>
      </c>
      <c r="X1" s="43">
        <v>14</v>
      </c>
      <c r="Y1" s="43">
        <v>15</v>
      </c>
      <c r="Z1" s="43">
        <v>16</v>
      </c>
      <c r="AA1" s="43">
        <v>17</v>
      </c>
      <c r="AB1" s="43">
        <v>18</v>
      </c>
      <c r="AC1" s="43">
        <v>19</v>
      </c>
      <c r="AD1" s="43">
        <v>20</v>
      </c>
      <c r="AE1" s="43">
        <v>21</v>
      </c>
      <c r="AF1" s="43">
        <v>22</v>
      </c>
      <c r="AG1" s="43">
        <v>23</v>
      </c>
      <c r="AH1" s="43">
        <v>24</v>
      </c>
      <c r="AI1" s="43"/>
    </row>
    <row r="2" spans="1:35">
      <c r="A2" s="43"/>
      <c r="B2" s="43"/>
      <c r="C2" s="43"/>
      <c r="D2" s="43"/>
      <c r="E2" s="43"/>
      <c r="F2" s="43"/>
      <c r="G2" s="43"/>
      <c r="I2" s="43"/>
      <c r="J2" s="19">
        <f t="shared" ref="J2:U2" si="0">SUBTOTAL(109,J4:J137)</f>
        <v>605385.10999999987</v>
      </c>
      <c r="K2" s="18">
        <f t="shared" si="0"/>
        <v>666764.21999999986</v>
      </c>
      <c r="L2" s="18">
        <f t="shared" si="0"/>
        <v>632133.31999999995</v>
      </c>
      <c r="M2" s="18">
        <f t="shared" si="0"/>
        <v>710766.2699999999</v>
      </c>
      <c r="N2" s="18">
        <f t="shared" si="0"/>
        <v>726418.05755701929</v>
      </c>
      <c r="O2" s="18">
        <f t="shared" si="0"/>
        <v>789610.30999999994</v>
      </c>
      <c r="P2" s="18">
        <f t="shared" si="0"/>
        <v>838112.39000000013</v>
      </c>
      <c r="Q2" s="18">
        <f t="shared" si="0"/>
        <v>986079.46000000008</v>
      </c>
      <c r="R2" s="18">
        <f t="shared" si="0"/>
        <v>1054850.5199999998</v>
      </c>
      <c r="S2" s="12">
        <f t="shared" si="0"/>
        <v>1144875.7363509827</v>
      </c>
      <c r="T2" s="12">
        <f t="shared" si="0"/>
        <v>1233366.185181279</v>
      </c>
      <c r="U2" s="12">
        <f t="shared" si="0"/>
        <v>1322533.457670663</v>
      </c>
      <c r="V2" s="22">
        <f>SUM(J2:U2)</f>
        <v>10710895.036759943</v>
      </c>
      <c r="W2" s="36">
        <f t="shared" ref="W2:AH2" si="1">SUBTOTAL(109,W4:W137)</f>
        <v>1411303.1236279989</v>
      </c>
      <c r="X2" s="34">
        <f t="shared" si="1"/>
        <v>1501747.3635638023</v>
      </c>
      <c r="Y2" s="34">
        <f t="shared" si="1"/>
        <v>1589977.4440449835</v>
      </c>
      <c r="Z2" s="34">
        <f t="shared" si="1"/>
        <v>1680326.9804979942</v>
      </c>
      <c r="AA2" s="34">
        <f t="shared" si="1"/>
        <v>1769691.6399484347</v>
      </c>
      <c r="AB2" s="34">
        <f t="shared" si="1"/>
        <v>1860494.9949510666</v>
      </c>
      <c r="AC2" s="34">
        <f t="shared" si="1"/>
        <v>1951252.3414932957</v>
      </c>
      <c r="AD2" s="34">
        <f t="shared" si="1"/>
        <v>2043629.5101282392</v>
      </c>
      <c r="AE2" s="34">
        <f t="shared" si="1"/>
        <v>2133853.1744815661</v>
      </c>
      <c r="AF2" s="34">
        <f t="shared" si="1"/>
        <v>2226184.6776448498</v>
      </c>
      <c r="AG2" s="34">
        <f t="shared" si="1"/>
        <v>2317319.0278313863</v>
      </c>
      <c r="AH2" s="37">
        <f t="shared" si="1"/>
        <v>2409425.6697309525</v>
      </c>
      <c r="AI2" s="42">
        <f>SUM(W2:AH2)</f>
        <v>22895205.94794457</v>
      </c>
    </row>
    <row r="3" spans="1:35">
      <c r="A3" s="2" t="s">
        <v>0</v>
      </c>
      <c r="B3" s="2" t="s">
        <v>1</v>
      </c>
      <c r="C3" s="2" t="s">
        <v>2</v>
      </c>
      <c r="D3" s="2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20">
        <v>45658</v>
      </c>
      <c r="K3" s="26">
        <v>45689</v>
      </c>
      <c r="L3" s="26">
        <v>45717</v>
      </c>
      <c r="M3" s="26">
        <v>45748</v>
      </c>
      <c r="N3" s="26">
        <v>45778</v>
      </c>
      <c r="O3" s="26">
        <v>45809</v>
      </c>
      <c r="P3" s="26">
        <v>45839</v>
      </c>
      <c r="Q3" s="26">
        <v>45870</v>
      </c>
      <c r="R3" s="26">
        <v>45901</v>
      </c>
      <c r="S3" s="13">
        <v>45931</v>
      </c>
      <c r="T3" s="13">
        <v>45962</v>
      </c>
      <c r="U3" s="13">
        <v>45992</v>
      </c>
      <c r="V3" s="31" t="s">
        <v>9</v>
      </c>
      <c r="W3" s="35">
        <v>46023</v>
      </c>
      <c r="X3" s="35">
        <v>46054</v>
      </c>
      <c r="Y3" s="35">
        <v>46082</v>
      </c>
      <c r="Z3" s="35">
        <v>46113</v>
      </c>
      <c r="AA3" s="35">
        <v>46143</v>
      </c>
      <c r="AB3" s="35">
        <v>46174</v>
      </c>
      <c r="AC3" s="35">
        <v>46204</v>
      </c>
      <c r="AD3" s="35">
        <v>46235</v>
      </c>
      <c r="AE3" s="35">
        <v>46266</v>
      </c>
      <c r="AF3" s="35">
        <v>46296</v>
      </c>
      <c r="AG3" s="35">
        <v>46327</v>
      </c>
      <c r="AH3" s="35">
        <v>46357</v>
      </c>
      <c r="AI3" s="40" t="s">
        <v>10</v>
      </c>
    </row>
    <row r="4" spans="1:35">
      <c r="A4" s="3">
        <v>77</v>
      </c>
      <c r="B4" s="10" t="s">
        <v>11</v>
      </c>
      <c r="C4" s="1" t="s">
        <v>12</v>
      </c>
      <c r="D4" s="10" t="s">
        <v>13</v>
      </c>
      <c r="E4" s="4" t="s">
        <v>14</v>
      </c>
      <c r="F4" s="4">
        <v>81593</v>
      </c>
      <c r="G4" s="4">
        <v>1107</v>
      </c>
      <c r="H4" s="4"/>
      <c r="I4" s="1" t="s">
        <v>15</v>
      </c>
      <c r="J4" s="21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46">
        <v>0</v>
      </c>
      <c r="S4" s="14">
        <v>0</v>
      </c>
      <c r="T4" s="14">
        <v>0</v>
      </c>
      <c r="U4" s="14">
        <v>0</v>
      </c>
      <c r="V4" s="32">
        <f>SUM(J4:U4)</f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8">
        <f>SUM(W4:AH4)</f>
        <v>0</v>
      </c>
    </row>
    <row r="5" spans="1:35">
      <c r="A5" s="3">
        <v>77</v>
      </c>
      <c r="B5" s="10" t="s">
        <v>16</v>
      </c>
      <c r="C5" s="1" t="s">
        <v>12</v>
      </c>
      <c r="D5" s="10" t="s">
        <v>17</v>
      </c>
      <c r="E5" s="4" t="s">
        <v>14</v>
      </c>
      <c r="F5" s="4">
        <v>81593</v>
      </c>
      <c r="G5" s="4">
        <v>1107</v>
      </c>
      <c r="H5" s="4"/>
      <c r="I5" s="1" t="s">
        <v>15</v>
      </c>
      <c r="J5" s="17">
        <v>40820.58</v>
      </c>
      <c r="K5" s="24">
        <v>44115.31</v>
      </c>
      <c r="L5" s="24">
        <v>42691.85</v>
      </c>
      <c r="M5" s="24">
        <v>46290.09</v>
      </c>
      <c r="N5" s="24">
        <v>54355.407749999998</v>
      </c>
      <c r="O5" s="24">
        <v>53134.186249999999</v>
      </c>
      <c r="P5" s="24">
        <v>55221.212749999999</v>
      </c>
      <c r="Q5" s="24">
        <v>57138.97</v>
      </c>
      <c r="R5" s="24">
        <f>60335.8</f>
        <v>60335.8</v>
      </c>
      <c r="S5" s="11">
        <f>MAX(IF($R5=0,0,_xlfn.FORECAST.ETS(S$1,$J5:$R5,$J$1:$R$1)),0)</f>
        <v>63157.169057326675</v>
      </c>
      <c r="T5" s="11">
        <f t="shared" ref="T5:U20" si="2">MAX(IF($R5=0,0,_xlfn.FORECAST.ETS(T$1,$J5:$R5,$J$1:$R$1)),0)</f>
        <v>65638.438184563376</v>
      </c>
      <c r="U5" s="11">
        <f t="shared" si="2"/>
        <v>68119.70731180007</v>
      </c>
      <c r="V5" s="32">
        <f t="shared" ref="V5:V73" si="3">SUM(J5:U5)</f>
        <v>651018.72130369022</v>
      </c>
      <c r="W5" s="33">
        <f>MAX(IF($R5=0,0,_xlfn.FORECAST.ETS(W$1,$J5:$R5,$J$1:$R$1)),0)</f>
        <v>70600.976439036764</v>
      </c>
      <c r="X5" s="33">
        <f t="shared" ref="X5:AH13" si="4">MAX(IF($R5=0,0,_xlfn.FORECAST.ETS(X$1,$J5:$R5,$J$1:$R$1)),0)</f>
        <v>73082.245566273457</v>
      </c>
      <c r="Y5" s="33">
        <f t="shared" si="4"/>
        <v>75563.514693510166</v>
      </c>
      <c r="Z5" s="33">
        <f t="shared" si="4"/>
        <v>78044.783820746859</v>
      </c>
      <c r="AA5" s="33">
        <f t="shared" si="4"/>
        <v>80526.052947983553</v>
      </c>
      <c r="AB5" s="33">
        <f t="shared" si="4"/>
        <v>83007.322075220247</v>
      </c>
      <c r="AC5" s="33">
        <f t="shared" si="4"/>
        <v>85488.591202456941</v>
      </c>
      <c r="AD5" s="33">
        <f t="shared" si="4"/>
        <v>87969.860329693649</v>
      </c>
      <c r="AE5" s="33">
        <f t="shared" si="4"/>
        <v>90451.129456930343</v>
      </c>
      <c r="AF5" s="33">
        <f t="shared" si="4"/>
        <v>92932.398584167036</v>
      </c>
      <c r="AG5" s="33">
        <f t="shared" si="4"/>
        <v>95413.66771140373</v>
      </c>
      <c r="AH5" s="33">
        <f t="shared" si="4"/>
        <v>97894.936838640424</v>
      </c>
      <c r="AI5" s="38">
        <f t="shared" ref="AI5:AI69" si="5">SUM(W5:AH5)</f>
        <v>1010975.4796660631</v>
      </c>
    </row>
    <row r="6" spans="1:35">
      <c r="A6" s="3">
        <v>77</v>
      </c>
      <c r="B6" s="10" t="s">
        <v>18</v>
      </c>
      <c r="C6" s="1" t="s">
        <v>12</v>
      </c>
      <c r="D6" s="10" t="s">
        <v>19</v>
      </c>
      <c r="E6" s="4" t="s">
        <v>14</v>
      </c>
      <c r="F6" s="4">
        <v>81593</v>
      </c>
      <c r="G6" s="4">
        <v>1107</v>
      </c>
      <c r="H6" s="4"/>
      <c r="I6" s="1" t="s">
        <v>15</v>
      </c>
      <c r="J6" s="21">
        <f>50799.31-J5</f>
        <v>9978.7299999999959</v>
      </c>
      <c r="K6" s="24">
        <f>54307.19-K5</f>
        <v>10191.880000000005</v>
      </c>
      <c r="L6" s="24">
        <f>53644.17-L5</f>
        <v>10952.32</v>
      </c>
      <c r="M6" s="24">
        <f>66246.78-M5</f>
        <v>19956.690000000002</v>
      </c>
      <c r="N6" s="24">
        <f>66373.54-N5</f>
        <v>12018.132249999995</v>
      </c>
      <c r="O6" s="24">
        <f>68920.08-O5</f>
        <v>15785.893750000003</v>
      </c>
      <c r="P6" s="24">
        <f>72272.56-P5</f>
        <v>17051.347249999999</v>
      </c>
      <c r="Q6" s="24">
        <f>78615.34-Q5</f>
        <v>21476.369999999995</v>
      </c>
      <c r="R6" s="24">
        <f>79721.08-R5</f>
        <v>19385.28</v>
      </c>
      <c r="S6" s="11">
        <f t="shared" ref="S6:U38" si="6">MAX(IF($R6=0,0,_xlfn.FORECAST.ETS(S$1,$J6:$R6,$J$1:$R$1)),0)</f>
        <v>21899.875592890101</v>
      </c>
      <c r="T6" s="11">
        <f t="shared" si="2"/>
        <v>23224.29465200712</v>
      </c>
      <c r="U6" s="11">
        <f t="shared" si="2"/>
        <v>24548.713711124139</v>
      </c>
      <c r="V6" s="32">
        <f t="shared" si="3"/>
        <v>206469.52720602136</v>
      </c>
      <c r="W6" s="33">
        <f t="shared" ref="W6:W69" si="7">MAX(IF($R6=0,0,_xlfn.FORECAST.ETS(W$1,$J6:$R6,$J$1:$R$1)),0)</f>
        <v>25873.132770241155</v>
      </c>
      <c r="X6" s="33">
        <f t="shared" si="4"/>
        <v>27197.551829358174</v>
      </c>
      <c r="Y6" s="33">
        <f t="shared" si="4"/>
        <v>28521.970888475193</v>
      </c>
      <c r="Z6" s="33">
        <f t="shared" si="4"/>
        <v>29846.389947592208</v>
      </c>
      <c r="AA6" s="33">
        <f t="shared" si="4"/>
        <v>31170.809006709227</v>
      </c>
      <c r="AB6" s="33">
        <f t="shared" si="4"/>
        <v>32495.228065826246</v>
      </c>
      <c r="AC6" s="33">
        <f t="shared" si="4"/>
        <v>33819.647124943265</v>
      </c>
      <c r="AD6" s="33">
        <f t="shared" si="4"/>
        <v>35144.066184060284</v>
      </c>
      <c r="AE6" s="33">
        <f t="shared" si="4"/>
        <v>36468.485243177303</v>
      </c>
      <c r="AF6" s="33">
        <f t="shared" si="4"/>
        <v>37792.904302294322</v>
      </c>
      <c r="AG6" s="33">
        <f t="shared" si="4"/>
        <v>39117.323361411341</v>
      </c>
      <c r="AH6" s="33">
        <f t="shared" si="4"/>
        <v>40441.742420528361</v>
      </c>
      <c r="AI6" s="38">
        <f t="shared" si="5"/>
        <v>397889.2511446171</v>
      </c>
    </row>
    <row r="7" spans="1:35">
      <c r="A7" s="3">
        <v>77</v>
      </c>
      <c r="B7" s="10" t="s">
        <v>20</v>
      </c>
      <c r="C7" s="1" t="s">
        <v>12</v>
      </c>
      <c r="D7" s="10" t="s">
        <v>19</v>
      </c>
      <c r="E7" s="4" t="s">
        <v>14</v>
      </c>
      <c r="F7" s="4">
        <v>81593</v>
      </c>
      <c r="G7" s="4">
        <v>1107</v>
      </c>
      <c r="H7" s="4"/>
      <c r="I7" s="1" t="s">
        <v>15</v>
      </c>
      <c r="J7" s="21">
        <v>5733.6</v>
      </c>
      <c r="K7" s="25">
        <v>5519.5</v>
      </c>
      <c r="L7" s="25">
        <v>5931.63</v>
      </c>
      <c r="M7" s="25">
        <v>6294.34</v>
      </c>
      <c r="N7" s="25">
        <v>7084.49</v>
      </c>
      <c r="O7" s="25">
        <v>6952.47</v>
      </c>
      <c r="P7" s="25">
        <v>7041.48</v>
      </c>
      <c r="Q7" s="25">
        <v>7500.7</v>
      </c>
      <c r="R7" s="24">
        <v>7568.81</v>
      </c>
      <c r="S7" s="11">
        <f t="shared" si="6"/>
        <v>8021.4303441550765</v>
      </c>
      <c r="T7" s="11">
        <f t="shared" si="2"/>
        <v>8289.7652257161153</v>
      </c>
      <c r="U7" s="11">
        <f t="shared" si="2"/>
        <v>8558.1001072771542</v>
      </c>
      <c r="V7" s="32">
        <f t="shared" si="3"/>
        <v>84496.315677148319</v>
      </c>
      <c r="W7" s="33">
        <f t="shared" si="7"/>
        <v>8826.4349888381912</v>
      </c>
      <c r="X7" s="33">
        <f t="shared" si="4"/>
        <v>9094.7698703992301</v>
      </c>
      <c r="Y7" s="33">
        <f t="shared" si="4"/>
        <v>9363.1047519602689</v>
      </c>
      <c r="Z7" s="33">
        <f t="shared" si="4"/>
        <v>9631.439633521306</v>
      </c>
      <c r="AA7" s="33">
        <f t="shared" si="4"/>
        <v>9899.7745150823448</v>
      </c>
      <c r="AB7" s="33">
        <f t="shared" si="4"/>
        <v>10168.109396643384</v>
      </c>
      <c r="AC7" s="33">
        <f t="shared" si="4"/>
        <v>10436.444278204421</v>
      </c>
      <c r="AD7" s="33">
        <f t="shared" si="4"/>
        <v>10704.77915976546</v>
      </c>
      <c r="AE7" s="33">
        <f t="shared" si="4"/>
        <v>10973.114041326498</v>
      </c>
      <c r="AF7" s="33">
        <f t="shared" si="4"/>
        <v>11241.448922887535</v>
      </c>
      <c r="AG7" s="33">
        <f t="shared" si="4"/>
        <v>11509.783804448574</v>
      </c>
      <c r="AH7" s="33">
        <f t="shared" si="4"/>
        <v>11778.118686009613</v>
      </c>
      <c r="AI7" s="38">
        <f t="shared" si="5"/>
        <v>123627.3220490868</v>
      </c>
    </row>
    <row r="8" spans="1:35">
      <c r="A8" s="27">
        <v>640</v>
      </c>
      <c r="B8" s="28" t="s">
        <v>21</v>
      </c>
      <c r="C8" s="28" t="s">
        <v>22</v>
      </c>
      <c r="D8" s="28" t="s">
        <v>23</v>
      </c>
      <c r="E8" s="29" t="s">
        <v>14</v>
      </c>
      <c r="F8" s="29">
        <v>81593</v>
      </c>
      <c r="G8" s="29">
        <v>2009</v>
      </c>
      <c r="H8" s="48" t="s">
        <v>24</v>
      </c>
      <c r="I8" s="28" t="s">
        <v>25</v>
      </c>
      <c r="J8" s="17">
        <v>147.34956653358486</v>
      </c>
      <c r="K8" s="24">
        <v>155.83363612992974</v>
      </c>
      <c r="L8" s="24">
        <v>152.13</v>
      </c>
      <c r="M8" s="24">
        <v>146.54</v>
      </c>
      <c r="N8" s="25">
        <v>158.59427056993155</v>
      </c>
      <c r="O8" s="24">
        <v>157.22330257214963</v>
      </c>
      <c r="P8" s="24">
        <v>143.11000000000001</v>
      </c>
      <c r="Q8" s="24">
        <v>47.15</v>
      </c>
      <c r="R8" s="24">
        <v>0</v>
      </c>
      <c r="S8" s="11">
        <f t="shared" si="6"/>
        <v>0</v>
      </c>
      <c r="T8" s="11">
        <f t="shared" si="2"/>
        <v>0</v>
      </c>
      <c r="U8" s="11">
        <f t="shared" si="2"/>
        <v>0</v>
      </c>
      <c r="V8" s="32">
        <f t="shared" si="3"/>
        <v>1107.9307758055957</v>
      </c>
      <c r="W8" s="33">
        <f t="shared" si="7"/>
        <v>0</v>
      </c>
      <c r="X8" s="33">
        <f t="shared" si="4"/>
        <v>0</v>
      </c>
      <c r="Y8" s="33">
        <f t="shared" si="4"/>
        <v>0</v>
      </c>
      <c r="Z8" s="33">
        <f t="shared" si="4"/>
        <v>0</v>
      </c>
      <c r="AA8" s="33">
        <f t="shared" si="4"/>
        <v>0</v>
      </c>
      <c r="AB8" s="33">
        <f t="shared" si="4"/>
        <v>0</v>
      </c>
      <c r="AC8" s="33">
        <f t="shared" si="4"/>
        <v>0</v>
      </c>
      <c r="AD8" s="33">
        <f t="shared" si="4"/>
        <v>0</v>
      </c>
      <c r="AE8" s="33">
        <f t="shared" si="4"/>
        <v>0</v>
      </c>
      <c r="AF8" s="33">
        <f t="shared" si="4"/>
        <v>0</v>
      </c>
      <c r="AG8" s="33">
        <f t="shared" si="4"/>
        <v>0</v>
      </c>
      <c r="AH8" s="33">
        <f t="shared" si="4"/>
        <v>0</v>
      </c>
      <c r="AI8" s="38">
        <f t="shared" si="5"/>
        <v>0</v>
      </c>
    </row>
    <row r="9" spans="1:35" s="9" customFormat="1">
      <c r="A9" s="3">
        <v>992</v>
      </c>
      <c r="B9" s="1" t="s">
        <v>26</v>
      </c>
      <c r="C9" s="1" t="s">
        <v>27</v>
      </c>
      <c r="D9" s="1" t="s">
        <v>28</v>
      </c>
      <c r="E9" s="4" t="s">
        <v>14</v>
      </c>
      <c r="F9" s="4">
        <v>81593</v>
      </c>
      <c r="G9" s="4">
        <v>2005</v>
      </c>
      <c r="H9" s="4"/>
      <c r="I9" s="7" t="s">
        <v>29</v>
      </c>
      <c r="J9" s="17">
        <v>148.12778374939674</v>
      </c>
      <c r="K9" s="24">
        <v>149.75900121662247</v>
      </c>
      <c r="L9" s="24">
        <v>140.38</v>
      </c>
      <c r="M9" s="24">
        <v>166.44</v>
      </c>
      <c r="N9" s="25">
        <v>277.45579394824546</v>
      </c>
      <c r="O9" s="24">
        <v>279.56285228740529</v>
      </c>
      <c r="P9" s="24">
        <v>252.05</v>
      </c>
      <c r="Q9" s="24">
        <v>293.94</v>
      </c>
      <c r="R9" s="24">
        <v>297.52999999999997</v>
      </c>
      <c r="S9" s="11">
        <f t="shared" si="6"/>
        <v>342.53697268716826</v>
      </c>
      <c r="T9" s="11">
        <f t="shared" si="2"/>
        <v>365.21364486325552</v>
      </c>
      <c r="U9" s="11">
        <f t="shared" si="2"/>
        <v>387.89031703934273</v>
      </c>
      <c r="V9" s="32">
        <f t="shared" si="3"/>
        <v>3100.8863657914367</v>
      </c>
      <c r="W9" s="33">
        <f t="shared" si="7"/>
        <v>410.56698921543</v>
      </c>
      <c r="X9" s="33">
        <f t="shared" si="4"/>
        <v>433.24366139151721</v>
      </c>
      <c r="Y9" s="33">
        <f t="shared" si="4"/>
        <v>455.92033356760442</v>
      </c>
      <c r="Z9" s="33">
        <f t="shared" si="4"/>
        <v>478.59700574369162</v>
      </c>
      <c r="AA9" s="33">
        <f t="shared" si="4"/>
        <v>501.27367791977889</v>
      </c>
      <c r="AB9" s="33">
        <f t="shared" si="4"/>
        <v>523.95035009586616</v>
      </c>
      <c r="AC9" s="33">
        <f t="shared" si="4"/>
        <v>546.62702227195336</v>
      </c>
      <c r="AD9" s="33">
        <f t="shared" si="4"/>
        <v>569.30369444804057</v>
      </c>
      <c r="AE9" s="33">
        <f t="shared" si="4"/>
        <v>591.98036662412778</v>
      </c>
      <c r="AF9" s="33">
        <f t="shared" si="4"/>
        <v>614.6570388002151</v>
      </c>
      <c r="AG9" s="33">
        <f t="shared" si="4"/>
        <v>637.3337109763022</v>
      </c>
      <c r="AH9" s="33">
        <f t="shared" si="4"/>
        <v>660.01038315238952</v>
      </c>
      <c r="AI9" s="38">
        <f t="shared" si="5"/>
        <v>6423.4642342069164</v>
      </c>
    </row>
    <row r="10" spans="1:35">
      <c r="A10" s="27">
        <v>413</v>
      </c>
      <c r="B10" s="28" t="s">
        <v>30</v>
      </c>
      <c r="C10" s="28" t="s">
        <v>27</v>
      </c>
      <c r="D10" s="28" t="s">
        <v>28</v>
      </c>
      <c r="E10" s="29" t="s">
        <v>14</v>
      </c>
      <c r="F10" s="29">
        <v>81593</v>
      </c>
      <c r="G10" s="29">
        <v>2005</v>
      </c>
      <c r="H10" s="39" t="s">
        <v>31</v>
      </c>
      <c r="I10" s="28" t="s">
        <v>32</v>
      </c>
      <c r="J10" s="17">
        <v>782.7159509498531</v>
      </c>
      <c r="K10" s="24">
        <v>765.48955731493038</v>
      </c>
      <c r="L10" s="24">
        <v>866.14</v>
      </c>
      <c r="M10" s="24">
        <v>843.91</v>
      </c>
      <c r="N10" s="25">
        <v>871.27363891757602</v>
      </c>
      <c r="O10" s="24">
        <v>599.16273910374571</v>
      </c>
      <c r="P10" s="24">
        <v>400.89</v>
      </c>
      <c r="Q10" s="24">
        <v>13.54</v>
      </c>
      <c r="R10" s="24">
        <v>0</v>
      </c>
      <c r="S10" s="11">
        <f t="shared" si="6"/>
        <v>0</v>
      </c>
      <c r="T10" s="11">
        <f t="shared" si="2"/>
        <v>0</v>
      </c>
      <c r="U10" s="11">
        <f t="shared" si="2"/>
        <v>0</v>
      </c>
      <c r="V10" s="32">
        <f t="shared" si="3"/>
        <v>5143.1218862861051</v>
      </c>
      <c r="W10" s="33">
        <f t="shared" si="7"/>
        <v>0</v>
      </c>
      <c r="X10" s="33">
        <f t="shared" si="4"/>
        <v>0</v>
      </c>
      <c r="Y10" s="33">
        <f t="shared" si="4"/>
        <v>0</v>
      </c>
      <c r="Z10" s="33">
        <f t="shared" si="4"/>
        <v>0</v>
      </c>
      <c r="AA10" s="33">
        <f t="shared" si="4"/>
        <v>0</v>
      </c>
      <c r="AB10" s="33">
        <f t="shared" si="4"/>
        <v>0</v>
      </c>
      <c r="AC10" s="33">
        <f t="shared" si="4"/>
        <v>0</v>
      </c>
      <c r="AD10" s="33">
        <f t="shared" si="4"/>
        <v>0</v>
      </c>
      <c r="AE10" s="33">
        <f t="shared" si="4"/>
        <v>0</v>
      </c>
      <c r="AF10" s="33">
        <f t="shared" si="4"/>
        <v>0</v>
      </c>
      <c r="AG10" s="33">
        <f t="shared" si="4"/>
        <v>0</v>
      </c>
      <c r="AH10" s="33">
        <f t="shared" si="4"/>
        <v>0</v>
      </c>
      <c r="AI10" s="38">
        <f t="shared" si="5"/>
        <v>0</v>
      </c>
    </row>
    <row r="11" spans="1:35">
      <c r="A11" s="27">
        <v>751</v>
      </c>
      <c r="B11" s="28" t="s">
        <v>33</v>
      </c>
      <c r="C11" s="28" t="s">
        <v>27</v>
      </c>
      <c r="D11" s="28" t="s">
        <v>34</v>
      </c>
      <c r="E11" s="29" t="s">
        <v>14</v>
      </c>
      <c r="F11" s="29">
        <v>81593</v>
      </c>
      <c r="G11" s="29">
        <v>2006</v>
      </c>
      <c r="H11" s="39" t="s">
        <v>35</v>
      </c>
      <c r="I11" s="28" t="s">
        <v>36</v>
      </c>
      <c r="J11" s="17">
        <v>38.367174790505857</v>
      </c>
      <c r="K11" s="24">
        <v>36.298082562966265</v>
      </c>
      <c r="L11" s="24">
        <v>34.409999999999997</v>
      </c>
      <c r="M11" s="24">
        <v>34.119999999999997</v>
      </c>
      <c r="N11" s="25">
        <v>36.14108642853359</v>
      </c>
      <c r="O11" s="24">
        <v>8.3352456150686489</v>
      </c>
      <c r="P11" s="24">
        <v>0</v>
      </c>
      <c r="Q11" s="24">
        <v>0</v>
      </c>
      <c r="R11" s="24">
        <v>0</v>
      </c>
      <c r="S11" s="11">
        <f t="shared" si="6"/>
        <v>0</v>
      </c>
      <c r="T11" s="11">
        <f t="shared" si="2"/>
        <v>0</v>
      </c>
      <c r="U11" s="11">
        <f t="shared" si="2"/>
        <v>0</v>
      </c>
      <c r="V11" s="32">
        <f t="shared" si="3"/>
        <v>187.67158939707437</v>
      </c>
      <c r="W11" s="33">
        <f t="shared" si="7"/>
        <v>0</v>
      </c>
      <c r="X11" s="33">
        <f t="shared" si="4"/>
        <v>0</v>
      </c>
      <c r="Y11" s="33">
        <f t="shared" si="4"/>
        <v>0</v>
      </c>
      <c r="Z11" s="33">
        <f t="shared" si="4"/>
        <v>0</v>
      </c>
      <c r="AA11" s="33">
        <f t="shared" si="4"/>
        <v>0</v>
      </c>
      <c r="AB11" s="33">
        <f t="shared" si="4"/>
        <v>0</v>
      </c>
      <c r="AC11" s="33">
        <f t="shared" si="4"/>
        <v>0</v>
      </c>
      <c r="AD11" s="33">
        <f t="shared" si="4"/>
        <v>0</v>
      </c>
      <c r="AE11" s="33">
        <f t="shared" si="4"/>
        <v>0</v>
      </c>
      <c r="AF11" s="33">
        <f t="shared" si="4"/>
        <v>0</v>
      </c>
      <c r="AG11" s="33">
        <f t="shared" si="4"/>
        <v>0</v>
      </c>
      <c r="AH11" s="33">
        <f t="shared" si="4"/>
        <v>0</v>
      </c>
      <c r="AI11" s="38">
        <f t="shared" si="5"/>
        <v>0</v>
      </c>
    </row>
    <row r="12" spans="1:35">
      <c r="A12" s="3">
        <v>391</v>
      </c>
      <c r="B12" s="1" t="s">
        <v>37</v>
      </c>
      <c r="C12" s="1" t="s">
        <v>12</v>
      </c>
      <c r="D12" s="1" t="s">
        <v>38</v>
      </c>
      <c r="E12" s="4" t="s">
        <v>39</v>
      </c>
      <c r="F12" s="5" t="s">
        <v>40</v>
      </c>
      <c r="G12" s="5" t="s">
        <v>41</v>
      </c>
      <c r="H12" s="5"/>
      <c r="I12" s="1" t="s">
        <v>42</v>
      </c>
      <c r="J12" s="17">
        <v>4102.036247093406</v>
      </c>
      <c r="K12" s="24">
        <v>4059.0432426444913</v>
      </c>
      <c r="L12" s="24">
        <v>3388.69</v>
      </c>
      <c r="M12" s="24">
        <v>3133.3</v>
      </c>
      <c r="N12" s="25">
        <v>3724.0522358142421</v>
      </c>
      <c r="O12" s="24">
        <v>4807.6903895151036</v>
      </c>
      <c r="P12" s="24">
        <v>4453.17</v>
      </c>
      <c r="Q12" s="24">
        <v>5449.11</v>
      </c>
      <c r="R12" s="24">
        <v>5523.75</v>
      </c>
      <c r="S12" s="11">
        <f t="shared" si="6"/>
        <v>5759.0638488404375</v>
      </c>
      <c r="T12" s="11">
        <f t="shared" si="2"/>
        <v>5986.3095891519879</v>
      </c>
      <c r="U12" s="11">
        <f t="shared" si="2"/>
        <v>6213.5553294635392</v>
      </c>
      <c r="V12" s="32">
        <f t="shared" si="3"/>
        <v>56599.770882523204</v>
      </c>
      <c r="W12" s="33">
        <f t="shared" si="7"/>
        <v>6440.8010697750897</v>
      </c>
      <c r="X12" s="33">
        <f t="shared" si="4"/>
        <v>6668.046810086641</v>
      </c>
      <c r="Y12" s="33">
        <f t="shared" si="4"/>
        <v>6895.2925503981915</v>
      </c>
      <c r="Z12" s="33">
        <f t="shared" si="4"/>
        <v>7122.5382907097428</v>
      </c>
      <c r="AA12" s="33">
        <f t="shared" si="4"/>
        <v>7349.7840310212941</v>
      </c>
      <c r="AB12" s="33">
        <f t="shared" si="4"/>
        <v>7577.0297713328446</v>
      </c>
      <c r="AC12" s="33">
        <f t="shared" si="4"/>
        <v>7804.275511644395</v>
      </c>
      <c r="AD12" s="33">
        <f t="shared" si="4"/>
        <v>8031.5212519559464</v>
      </c>
      <c r="AE12" s="33">
        <f t="shared" si="4"/>
        <v>8258.7669922674977</v>
      </c>
      <c r="AF12" s="33">
        <f t="shared" si="4"/>
        <v>8486.012732579049</v>
      </c>
      <c r="AG12" s="33">
        <f t="shared" si="4"/>
        <v>8713.2584728906004</v>
      </c>
      <c r="AH12" s="33">
        <f t="shared" si="4"/>
        <v>8940.5042132021499</v>
      </c>
      <c r="AI12" s="38">
        <f t="shared" si="5"/>
        <v>92287.831697863454</v>
      </c>
    </row>
    <row r="13" spans="1:35" s="15" customFormat="1">
      <c r="A13" s="3">
        <v>1086</v>
      </c>
      <c r="B13" s="1" t="s">
        <v>43</v>
      </c>
      <c r="C13" s="1" t="s">
        <v>27</v>
      </c>
      <c r="D13" s="1" t="s">
        <v>44</v>
      </c>
      <c r="E13" s="4" t="s">
        <v>14</v>
      </c>
      <c r="F13" s="4">
        <v>81593</v>
      </c>
      <c r="G13" s="4">
        <v>2008</v>
      </c>
      <c r="H13" s="4"/>
      <c r="I13" s="44" t="s">
        <v>45</v>
      </c>
      <c r="J13" s="17">
        <v>0</v>
      </c>
      <c r="K13" s="24">
        <v>0</v>
      </c>
      <c r="L13" s="24">
        <v>0</v>
      </c>
      <c r="M13" s="24">
        <v>0</v>
      </c>
      <c r="N13" s="24">
        <v>0</v>
      </c>
      <c r="O13" s="24">
        <v>415.25165140674255</v>
      </c>
      <c r="P13" s="24">
        <v>555.36</v>
      </c>
      <c r="Q13" s="24">
        <v>593.82000000000005</v>
      </c>
      <c r="R13" s="24">
        <v>592.27</v>
      </c>
      <c r="S13" s="11">
        <f t="shared" si="6"/>
        <v>696.80171360633369</v>
      </c>
      <c r="T13" s="11">
        <f t="shared" si="2"/>
        <v>791.23989450316412</v>
      </c>
      <c r="U13" s="11">
        <f t="shared" si="2"/>
        <v>885.67807539999467</v>
      </c>
      <c r="V13" s="32">
        <f t="shared" si="3"/>
        <v>4530.4213349162346</v>
      </c>
      <c r="W13" s="33">
        <f t="shared" si="7"/>
        <v>980.11625629682521</v>
      </c>
      <c r="X13" s="33">
        <f t="shared" si="4"/>
        <v>1074.5544371936558</v>
      </c>
      <c r="Y13" s="33">
        <f t="shared" si="4"/>
        <v>1168.9926180904863</v>
      </c>
      <c r="Z13" s="33">
        <f t="shared" ref="X13:AH36" si="8">MAX(IF($R13=0,0,_xlfn.FORECAST.ETS(Z$1,$J13:$R13,$J$1:$R$1)),0)</f>
        <v>1263.4307989873168</v>
      </c>
      <c r="AA13" s="33">
        <f t="shared" si="8"/>
        <v>1357.8689798841474</v>
      </c>
      <c r="AB13" s="33">
        <f t="shared" si="8"/>
        <v>1452.3071607809779</v>
      </c>
      <c r="AC13" s="33">
        <f t="shared" si="8"/>
        <v>1546.7453416778085</v>
      </c>
      <c r="AD13" s="33">
        <f t="shared" si="8"/>
        <v>1641.183522574639</v>
      </c>
      <c r="AE13" s="33">
        <f t="shared" si="8"/>
        <v>1735.6217034714691</v>
      </c>
      <c r="AF13" s="33">
        <f t="shared" si="8"/>
        <v>1830.0598843682997</v>
      </c>
      <c r="AG13" s="33">
        <f t="shared" si="8"/>
        <v>1924.4980652651302</v>
      </c>
      <c r="AH13" s="33">
        <f t="shared" si="8"/>
        <v>2018.9362461619608</v>
      </c>
      <c r="AI13" s="38">
        <f t="shared" si="5"/>
        <v>17994.315014752716</v>
      </c>
    </row>
    <row r="14" spans="1:35">
      <c r="A14" s="3">
        <v>473</v>
      </c>
      <c r="B14" s="1" t="s">
        <v>46</v>
      </c>
      <c r="C14" s="1" t="s">
        <v>12</v>
      </c>
      <c r="D14" s="1" t="s">
        <v>19</v>
      </c>
      <c r="E14" s="4" t="s">
        <v>14</v>
      </c>
      <c r="F14" s="4">
        <v>81593</v>
      </c>
      <c r="G14" s="4">
        <v>1107</v>
      </c>
      <c r="H14" s="4"/>
      <c r="I14" s="1" t="s">
        <v>47</v>
      </c>
      <c r="J14" s="17">
        <v>91.403211073575221</v>
      </c>
      <c r="K14" s="24">
        <v>94.499074109124919</v>
      </c>
      <c r="L14" s="24">
        <v>90.47</v>
      </c>
      <c r="M14" s="24">
        <v>89.52</v>
      </c>
      <c r="N14" s="25">
        <v>96.485068681031507</v>
      </c>
      <c r="O14" s="24">
        <v>97.976633868641116</v>
      </c>
      <c r="P14" s="24">
        <v>88.96</v>
      </c>
      <c r="Q14" s="24">
        <v>104.56</v>
      </c>
      <c r="R14" s="24">
        <v>104.47</v>
      </c>
      <c r="S14" s="11">
        <f t="shared" si="6"/>
        <v>101.89340774659505</v>
      </c>
      <c r="T14" s="11">
        <f t="shared" si="2"/>
        <v>107.4865451884294</v>
      </c>
      <c r="U14" s="11">
        <f t="shared" si="2"/>
        <v>105.26094330375005</v>
      </c>
      <c r="V14" s="32">
        <f t="shared" si="3"/>
        <v>1172.9848839711474</v>
      </c>
      <c r="W14" s="33">
        <f t="shared" si="7"/>
        <v>106.1114728778735</v>
      </c>
      <c r="X14" s="33">
        <f t="shared" si="8"/>
        <v>111.70461031970785</v>
      </c>
      <c r="Y14" s="33">
        <f t="shared" si="8"/>
        <v>109.4790084350285</v>
      </c>
      <c r="Z14" s="33">
        <f t="shared" si="8"/>
        <v>110.32953800915193</v>
      </c>
      <c r="AA14" s="33">
        <f t="shared" si="8"/>
        <v>115.92267545098628</v>
      </c>
      <c r="AB14" s="33">
        <f t="shared" si="8"/>
        <v>113.69707356630695</v>
      </c>
      <c r="AC14" s="33">
        <f t="shared" si="8"/>
        <v>114.54760314043038</v>
      </c>
      <c r="AD14" s="33">
        <f t="shared" si="8"/>
        <v>120.14074058226473</v>
      </c>
      <c r="AE14" s="33">
        <f t="shared" si="8"/>
        <v>117.91513869758539</v>
      </c>
      <c r="AF14" s="33">
        <f t="shared" si="8"/>
        <v>118.76566827170882</v>
      </c>
      <c r="AG14" s="33">
        <f t="shared" si="8"/>
        <v>124.35880571354318</v>
      </c>
      <c r="AH14" s="33">
        <f t="shared" si="8"/>
        <v>122.13320382886383</v>
      </c>
      <c r="AI14" s="38">
        <f t="shared" si="5"/>
        <v>1385.1055388934512</v>
      </c>
    </row>
    <row r="15" spans="1:35">
      <c r="A15" s="3">
        <v>163</v>
      </c>
      <c r="B15" s="1" t="s">
        <v>48</v>
      </c>
      <c r="C15" s="1" t="s">
        <v>12</v>
      </c>
      <c r="D15" s="1" t="s">
        <v>38</v>
      </c>
      <c r="E15" s="4" t="s">
        <v>39</v>
      </c>
      <c r="F15" s="5" t="s">
        <v>40</v>
      </c>
      <c r="G15" s="5" t="s">
        <v>41</v>
      </c>
      <c r="H15" s="5"/>
      <c r="I15" s="1" t="s">
        <v>49</v>
      </c>
      <c r="J15" s="17">
        <v>239.20051901899706</v>
      </c>
      <c r="K15" s="24">
        <v>248.34348120054207</v>
      </c>
      <c r="L15" s="24">
        <v>230.71</v>
      </c>
      <c r="M15" s="24">
        <v>224.74</v>
      </c>
      <c r="N15" s="25">
        <v>248.38578964703365</v>
      </c>
      <c r="O15" s="24">
        <v>257.02126260346643</v>
      </c>
      <c r="P15" s="24">
        <v>227.37</v>
      </c>
      <c r="Q15" s="24">
        <v>273.41000000000003</v>
      </c>
      <c r="R15" s="24">
        <v>261.66000000000003</v>
      </c>
      <c r="S15" s="11">
        <f t="shared" si="6"/>
        <v>258.39900188633294</v>
      </c>
      <c r="T15" s="11">
        <f t="shared" si="2"/>
        <v>275.90203912844618</v>
      </c>
      <c r="U15" s="11">
        <f t="shared" si="2"/>
        <v>264.92929604650658</v>
      </c>
      <c r="V15" s="32">
        <f t="shared" si="3"/>
        <v>3010.0713895313247</v>
      </c>
      <c r="W15" s="33">
        <f t="shared" si="7"/>
        <v>267.79575460511774</v>
      </c>
      <c r="X15" s="33">
        <f t="shared" si="8"/>
        <v>285.29879184723097</v>
      </c>
      <c r="Y15" s="33">
        <f t="shared" si="8"/>
        <v>274.32604876529143</v>
      </c>
      <c r="Z15" s="33">
        <f t="shared" si="8"/>
        <v>277.19250732390253</v>
      </c>
      <c r="AA15" s="33">
        <f t="shared" si="8"/>
        <v>294.69554456601577</v>
      </c>
      <c r="AB15" s="33">
        <f t="shared" si="8"/>
        <v>283.72280148407623</v>
      </c>
      <c r="AC15" s="33">
        <f t="shared" si="8"/>
        <v>286.58926004268739</v>
      </c>
      <c r="AD15" s="33">
        <f t="shared" si="8"/>
        <v>304.09229728480062</v>
      </c>
      <c r="AE15" s="33">
        <f t="shared" si="8"/>
        <v>293.11955420286102</v>
      </c>
      <c r="AF15" s="33">
        <f t="shared" si="8"/>
        <v>295.98601276147218</v>
      </c>
      <c r="AG15" s="33">
        <f t="shared" si="8"/>
        <v>313.48905000358542</v>
      </c>
      <c r="AH15" s="33">
        <f t="shared" si="8"/>
        <v>302.51630692164588</v>
      </c>
      <c r="AI15" s="38">
        <f t="shared" si="5"/>
        <v>3478.8239298086864</v>
      </c>
    </row>
    <row r="16" spans="1:35">
      <c r="A16" s="3">
        <v>320</v>
      </c>
      <c r="B16" s="1" t="s">
        <v>50</v>
      </c>
      <c r="C16" s="1" t="s">
        <v>22</v>
      </c>
      <c r="D16" s="1" t="s">
        <v>34</v>
      </c>
      <c r="E16" s="4" t="s">
        <v>14</v>
      </c>
      <c r="F16" s="4">
        <v>81593</v>
      </c>
      <c r="G16" s="4">
        <v>2011</v>
      </c>
      <c r="H16" s="4"/>
      <c r="I16" s="1" t="s">
        <v>51</v>
      </c>
      <c r="J16" s="17">
        <v>1617.849628614048</v>
      </c>
      <c r="K16" s="24">
        <v>1624.6333011366066</v>
      </c>
      <c r="L16" s="24">
        <v>1477.82</v>
      </c>
      <c r="M16" s="24">
        <v>1539.04</v>
      </c>
      <c r="N16" s="25">
        <v>514.13807537011587</v>
      </c>
      <c r="O16" s="24">
        <v>537.34478640587156</v>
      </c>
      <c r="P16" s="24">
        <v>452.1</v>
      </c>
      <c r="Q16" s="24">
        <v>555.89</v>
      </c>
      <c r="R16" s="24">
        <v>517.52</v>
      </c>
      <c r="S16" s="11">
        <f t="shared" si="6"/>
        <v>23.363076931189745</v>
      </c>
      <c r="T16" s="11">
        <f t="shared" si="2"/>
        <v>0</v>
      </c>
      <c r="U16" s="11">
        <f t="shared" si="2"/>
        <v>0</v>
      </c>
      <c r="V16" s="32">
        <f t="shared" si="3"/>
        <v>8859.6988684578318</v>
      </c>
      <c r="W16" s="33">
        <f t="shared" si="7"/>
        <v>0</v>
      </c>
      <c r="X16" s="33">
        <f t="shared" si="8"/>
        <v>0</v>
      </c>
      <c r="Y16" s="33">
        <f t="shared" si="8"/>
        <v>0</v>
      </c>
      <c r="Z16" s="33">
        <f t="shared" si="8"/>
        <v>0</v>
      </c>
      <c r="AA16" s="33">
        <f t="shared" si="8"/>
        <v>0</v>
      </c>
      <c r="AB16" s="33">
        <f t="shared" si="8"/>
        <v>0</v>
      </c>
      <c r="AC16" s="33">
        <f t="shared" si="8"/>
        <v>0</v>
      </c>
      <c r="AD16" s="33">
        <f t="shared" si="8"/>
        <v>0</v>
      </c>
      <c r="AE16" s="33">
        <f t="shared" si="8"/>
        <v>0</v>
      </c>
      <c r="AF16" s="33">
        <f t="shared" si="8"/>
        <v>0</v>
      </c>
      <c r="AG16" s="33">
        <f t="shared" si="8"/>
        <v>0</v>
      </c>
      <c r="AH16" s="33">
        <f t="shared" si="8"/>
        <v>0</v>
      </c>
      <c r="AI16" s="38">
        <f t="shared" si="5"/>
        <v>0</v>
      </c>
    </row>
    <row r="17" spans="1:35">
      <c r="A17" s="3">
        <v>756</v>
      </c>
      <c r="B17" s="1" t="s">
        <v>52</v>
      </c>
      <c r="C17" s="1" t="s">
        <v>22</v>
      </c>
      <c r="D17" s="1" t="s">
        <v>28</v>
      </c>
      <c r="E17" s="4" t="s">
        <v>14</v>
      </c>
      <c r="F17" s="4">
        <v>81593</v>
      </c>
      <c r="G17" s="4">
        <v>2010</v>
      </c>
      <c r="H17" s="4"/>
      <c r="I17" s="1" t="s">
        <v>53</v>
      </c>
      <c r="J17" s="17">
        <v>3706.4886912648622</v>
      </c>
      <c r="K17" s="24">
        <v>6052.8282573420602</v>
      </c>
      <c r="L17" s="24">
        <v>5332.49</v>
      </c>
      <c r="M17" s="24">
        <v>4952.91</v>
      </c>
      <c r="N17" s="25">
        <v>6650.6027284981183</v>
      </c>
      <c r="O17" s="24">
        <v>6427.3207501994066</v>
      </c>
      <c r="P17" s="24">
        <v>6289.07</v>
      </c>
      <c r="Q17" s="24">
        <v>7807.41</v>
      </c>
      <c r="R17" s="24">
        <v>9800.2099999999991</v>
      </c>
      <c r="S17" s="11">
        <f t="shared" si="6"/>
        <v>8939.7521503657772</v>
      </c>
      <c r="T17" s="11">
        <f t="shared" si="2"/>
        <v>9492.8413686063795</v>
      </c>
      <c r="U17" s="11">
        <f t="shared" si="2"/>
        <v>10045.930586846982</v>
      </c>
      <c r="V17" s="32">
        <f t="shared" si="3"/>
        <v>85497.85453312358</v>
      </c>
      <c r="W17" s="33">
        <f t="shared" si="7"/>
        <v>10599.019805087584</v>
      </c>
      <c r="X17" s="33">
        <f t="shared" si="8"/>
        <v>11152.109023328187</v>
      </c>
      <c r="Y17" s="33">
        <f t="shared" si="8"/>
        <v>11705.198241568787</v>
      </c>
      <c r="Z17" s="33">
        <f t="shared" si="8"/>
        <v>12258.287459809389</v>
      </c>
      <c r="AA17" s="33">
        <f t="shared" si="8"/>
        <v>12811.376678049992</v>
      </c>
      <c r="AB17" s="33">
        <f t="shared" si="8"/>
        <v>13364.465896290594</v>
      </c>
      <c r="AC17" s="33">
        <f t="shared" si="8"/>
        <v>13917.555114531197</v>
      </c>
      <c r="AD17" s="33">
        <f t="shared" si="8"/>
        <v>14470.644332771797</v>
      </c>
      <c r="AE17" s="33">
        <f t="shared" si="8"/>
        <v>15023.733551012399</v>
      </c>
      <c r="AF17" s="33">
        <f t="shared" si="8"/>
        <v>15576.822769253002</v>
      </c>
      <c r="AG17" s="33">
        <f t="shared" si="8"/>
        <v>16129.911987493604</v>
      </c>
      <c r="AH17" s="33">
        <f t="shared" si="8"/>
        <v>16683.001205734206</v>
      </c>
      <c r="AI17" s="38">
        <f t="shared" si="5"/>
        <v>163692.12606493075</v>
      </c>
    </row>
    <row r="18" spans="1:35" s="9" customFormat="1">
      <c r="A18" s="3">
        <v>989</v>
      </c>
      <c r="B18" s="1" t="s">
        <v>54</v>
      </c>
      <c r="C18" s="1" t="s">
        <v>12</v>
      </c>
      <c r="D18" s="1" t="s">
        <v>34</v>
      </c>
      <c r="E18" s="4" t="s">
        <v>14</v>
      </c>
      <c r="F18" s="4">
        <v>81593</v>
      </c>
      <c r="G18" s="4">
        <v>2006</v>
      </c>
      <c r="H18" s="4"/>
      <c r="I18" s="7" t="s">
        <v>55</v>
      </c>
      <c r="J18" s="17">
        <v>658.09459132189716</v>
      </c>
      <c r="K18" s="24">
        <v>655.78250636298333</v>
      </c>
      <c r="L18" s="24">
        <v>153.72999999999999</v>
      </c>
      <c r="M18" s="24">
        <v>151.9</v>
      </c>
      <c r="N18" s="25">
        <v>162.91038563466043</v>
      </c>
      <c r="O18" s="24">
        <v>165.08714612158457</v>
      </c>
      <c r="P18" s="24">
        <v>148.76</v>
      </c>
      <c r="Q18" s="24">
        <v>176.07</v>
      </c>
      <c r="R18" s="24">
        <v>179.01</v>
      </c>
      <c r="S18" s="11">
        <f t="shared" si="6"/>
        <v>116.32600136589801</v>
      </c>
      <c r="T18" s="11">
        <f t="shared" si="2"/>
        <v>60.4140518620328</v>
      </c>
      <c r="U18" s="11">
        <f t="shared" si="2"/>
        <v>4.5021023581677992</v>
      </c>
      <c r="V18" s="32">
        <f t="shared" si="3"/>
        <v>2632.5867850272243</v>
      </c>
      <c r="W18" s="33">
        <f t="shared" si="7"/>
        <v>0</v>
      </c>
      <c r="X18" s="33">
        <f t="shared" si="8"/>
        <v>0</v>
      </c>
      <c r="Y18" s="33">
        <f t="shared" si="8"/>
        <v>0</v>
      </c>
      <c r="Z18" s="33">
        <f t="shared" si="8"/>
        <v>0</v>
      </c>
      <c r="AA18" s="33">
        <f t="shared" si="8"/>
        <v>0</v>
      </c>
      <c r="AB18" s="33">
        <f t="shared" si="8"/>
        <v>0</v>
      </c>
      <c r="AC18" s="33">
        <f t="shared" si="8"/>
        <v>0</v>
      </c>
      <c r="AD18" s="33">
        <f t="shared" si="8"/>
        <v>0</v>
      </c>
      <c r="AE18" s="33">
        <f t="shared" si="8"/>
        <v>0</v>
      </c>
      <c r="AF18" s="33">
        <f t="shared" si="8"/>
        <v>0</v>
      </c>
      <c r="AG18" s="33">
        <f t="shared" si="8"/>
        <v>0</v>
      </c>
      <c r="AH18" s="33">
        <f t="shared" si="8"/>
        <v>0</v>
      </c>
      <c r="AI18" s="38">
        <f t="shared" si="5"/>
        <v>0</v>
      </c>
    </row>
    <row r="19" spans="1:35">
      <c r="A19" s="27">
        <v>314</v>
      </c>
      <c r="B19" s="28" t="s">
        <v>56</v>
      </c>
      <c r="C19" s="28" t="s">
        <v>22</v>
      </c>
      <c r="D19" s="28" t="s">
        <v>34</v>
      </c>
      <c r="E19" s="29" t="s">
        <v>14</v>
      </c>
      <c r="F19" s="29">
        <v>81593</v>
      </c>
      <c r="G19" s="29">
        <v>2011</v>
      </c>
      <c r="H19" s="39" t="s">
        <v>57</v>
      </c>
      <c r="I19" s="28" t="s">
        <v>58</v>
      </c>
      <c r="J19" s="17">
        <v>1146.5911321458343</v>
      </c>
      <c r="K19" s="24">
        <v>1247.0113219923003</v>
      </c>
      <c r="L19" s="24">
        <v>1411.31</v>
      </c>
      <c r="M19" s="24">
        <v>1410.46</v>
      </c>
      <c r="N19" s="25">
        <v>1528.3638940911237</v>
      </c>
      <c r="O19" s="24">
        <v>0</v>
      </c>
      <c r="P19" s="24">
        <v>0</v>
      </c>
      <c r="Q19" s="24">
        <v>0</v>
      </c>
      <c r="R19" s="24">
        <v>0</v>
      </c>
      <c r="S19" s="11">
        <f t="shared" si="6"/>
        <v>0</v>
      </c>
      <c r="T19" s="11">
        <f t="shared" si="2"/>
        <v>0</v>
      </c>
      <c r="U19" s="11">
        <f t="shared" si="2"/>
        <v>0</v>
      </c>
      <c r="V19" s="32">
        <f t="shared" si="3"/>
        <v>6743.7363482292585</v>
      </c>
      <c r="W19" s="33">
        <f t="shared" si="7"/>
        <v>0</v>
      </c>
      <c r="X19" s="33">
        <f t="shared" si="8"/>
        <v>0</v>
      </c>
      <c r="Y19" s="33">
        <f t="shared" si="8"/>
        <v>0</v>
      </c>
      <c r="Z19" s="33">
        <f t="shared" si="8"/>
        <v>0</v>
      </c>
      <c r="AA19" s="33">
        <f t="shared" si="8"/>
        <v>0</v>
      </c>
      <c r="AB19" s="33">
        <f t="shared" si="8"/>
        <v>0</v>
      </c>
      <c r="AC19" s="33">
        <f t="shared" si="8"/>
        <v>0</v>
      </c>
      <c r="AD19" s="33">
        <f t="shared" si="8"/>
        <v>0</v>
      </c>
      <c r="AE19" s="33">
        <f t="shared" si="8"/>
        <v>0</v>
      </c>
      <c r="AF19" s="33">
        <f t="shared" si="8"/>
        <v>0</v>
      </c>
      <c r="AG19" s="33">
        <f t="shared" si="8"/>
        <v>0</v>
      </c>
      <c r="AH19" s="33">
        <f t="shared" si="8"/>
        <v>0</v>
      </c>
      <c r="AI19" s="38">
        <f t="shared" si="5"/>
        <v>0</v>
      </c>
    </row>
    <row r="20" spans="1:35">
      <c r="A20" s="3">
        <v>762</v>
      </c>
      <c r="B20" s="1" t="s">
        <v>59</v>
      </c>
      <c r="C20" s="1" t="s">
        <v>27</v>
      </c>
      <c r="D20" s="1" t="s">
        <v>23</v>
      </c>
      <c r="E20" s="4" t="s">
        <v>14</v>
      </c>
      <c r="F20" s="4">
        <v>81593</v>
      </c>
      <c r="G20" s="4">
        <v>2004</v>
      </c>
      <c r="H20" s="4"/>
      <c r="I20" s="1" t="s">
        <v>60</v>
      </c>
      <c r="J20" s="17">
        <v>203.93555258193305</v>
      </c>
      <c r="K20" s="24">
        <v>223.413949540473</v>
      </c>
      <c r="L20" s="24">
        <v>266.23</v>
      </c>
      <c r="M20" s="24">
        <v>246.55</v>
      </c>
      <c r="N20" s="25">
        <v>214.75478431997357</v>
      </c>
      <c r="O20" s="24">
        <v>213.83440518143337</v>
      </c>
      <c r="P20" s="24">
        <v>197.29</v>
      </c>
      <c r="Q20" s="24">
        <v>226.5</v>
      </c>
      <c r="R20" s="24">
        <v>225.7</v>
      </c>
      <c r="S20" s="11">
        <f t="shared" si="6"/>
        <v>224.16707833936979</v>
      </c>
      <c r="T20" s="11">
        <f t="shared" si="2"/>
        <v>222.96366832319123</v>
      </c>
      <c r="U20" s="11">
        <f t="shared" si="2"/>
        <v>221.76025830701263</v>
      </c>
      <c r="V20" s="32">
        <f t="shared" si="3"/>
        <v>2687.0996965933864</v>
      </c>
      <c r="W20" s="33">
        <f t="shared" si="7"/>
        <v>220.55684829083404</v>
      </c>
      <c r="X20" s="33">
        <f t="shared" si="8"/>
        <v>219.35343827465545</v>
      </c>
      <c r="Y20" s="33">
        <f t="shared" si="8"/>
        <v>218.15002825847688</v>
      </c>
      <c r="Z20" s="33">
        <f t="shared" si="8"/>
        <v>216.94661824229829</v>
      </c>
      <c r="AA20" s="33">
        <f t="shared" si="8"/>
        <v>215.74320822611969</v>
      </c>
      <c r="AB20" s="33">
        <f t="shared" si="8"/>
        <v>214.53979820994113</v>
      </c>
      <c r="AC20" s="33">
        <f t="shared" si="8"/>
        <v>213.33638819376253</v>
      </c>
      <c r="AD20" s="33">
        <f t="shared" si="8"/>
        <v>212.13297817758394</v>
      </c>
      <c r="AE20" s="33">
        <f t="shared" si="8"/>
        <v>210.92956816140537</v>
      </c>
      <c r="AF20" s="33">
        <f t="shared" si="8"/>
        <v>209.72615814522678</v>
      </c>
      <c r="AG20" s="33">
        <f t="shared" si="8"/>
        <v>208.52274812904818</v>
      </c>
      <c r="AH20" s="33">
        <f t="shared" si="8"/>
        <v>207.31933811286959</v>
      </c>
      <c r="AI20" s="38">
        <f t="shared" si="5"/>
        <v>2567.2571184222215</v>
      </c>
    </row>
    <row r="21" spans="1:35">
      <c r="A21" s="3">
        <v>335</v>
      </c>
      <c r="B21" s="1" t="s">
        <v>61</v>
      </c>
      <c r="C21" s="1" t="s">
        <v>12</v>
      </c>
      <c r="D21" s="1" t="s">
        <v>19</v>
      </c>
      <c r="E21" s="4" t="s">
        <v>39</v>
      </c>
      <c r="F21" s="5" t="s">
        <v>40</v>
      </c>
      <c r="G21" s="5" t="s">
        <v>41</v>
      </c>
      <c r="H21" s="5"/>
      <c r="I21" s="1" t="s">
        <v>62</v>
      </c>
      <c r="J21" s="17">
        <v>5629.5380551046374</v>
      </c>
      <c r="K21" s="24">
        <v>5736.2520811645818</v>
      </c>
      <c r="L21" s="24">
        <v>5499.11</v>
      </c>
      <c r="M21" s="24">
        <v>5778.57</v>
      </c>
      <c r="N21" s="25">
        <v>6121.9755670951063</v>
      </c>
      <c r="O21" s="24">
        <v>5952.5760153730289</v>
      </c>
      <c r="P21" s="24">
        <v>5435.36</v>
      </c>
      <c r="Q21" s="24">
        <v>6377.67</v>
      </c>
      <c r="R21" s="24">
        <v>5889.95</v>
      </c>
      <c r="S21" s="11">
        <f t="shared" si="6"/>
        <v>5990.2735047917658</v>
      </c>
      <c r="T21" s="11">
        <f t="shared" si="6"/>
        <v>6333.7926170742357</v>
      </c>
      <c r="U21" s="11">
        <f t="shared" si="6"/>
        <v>5975.8529552355812</v>
      </c>
      <c r="V21" s="32">
        <f t="shared" si="3"/>
        <v>70720.920795838931</v>
      </c>
      <c r="W21" s="33">
        <f t="shared" si="7"/>
        <v>6130.1735655055891</v>
      </c>
      <c r="X21" s="33">
        <f t="shared" si="8"/>
        <v>6473.6926777880581</v>
      </c>
      <c r="Y21" s="33">
        <f t="shared" si="8"/>
        <v>6115.7530159494045</v>
      </c>
      <c r="Z21" s="33">
        <f t="shared" si="8"/>
        <v>6270.0736262194114</v>
      </c>
      <c r="AA21" s="33">
        <f t="shared" si="8"/>
        <v>6613.5927385018813</v>
      </c>
      <c r="AB21" s="33">
        <f t="shared" si="8"/>
        <v>6255.6530766632268</v>
      </c>
      <c r="AC21" s="33">
        <f t="shared" si="8"/>
        <v>6409.9736869332346</v>
      </c>
      <c r="AD21" s="33">
        <f t="shared" si="8"/>
        <v>6753.4927992157036</v>
      </c>
      <c r="AE21" s="33">
        <f t="shared" si="8"/>
        <v>6395.55313737705</v>
      </c>
      <c r="AF21" s="33">
        <f t="shared" si="8"/>
        <v>6549.8737476470569</v>
      </c>
      <c r="AG21" s="33">
        <f t="shared" si="8"/>
        <v>6893.3928599295259</v>
      </c>
      <c r="AH21" s="33">
        <f t="shared" si="8"/>
        <v>6535.4531980908723</v>
      </c>
      <c r="AI21" s="38">
        <f t="shared" si="5"/>
        <v>77396.678129821026</v>
      </c>
    </row>
    <row r="22" spans="1:35">
      <c r="A22" s="3">
        <v>454</v>
      </c>
      <c r="B22" s="1" t="s">
        <v>63</v>
      </c>
      <c r="C22" s="1" t="s">
        <v>12</v>
      </c>
      <c r="D22" s="1" t="s">
        <v>19</v>
      </c>
      <c r="E22" s="4" t="s">
        <v>14</v>
      </c>
      <c r="F22" s="4">
        <v>81593</v>
      </c>
      <c r="G22" s="4">
        <v>1107</v>
      </c>
      <c r="H22" s="4"/>
      <c r="I22" s="1" t="s">
        <v>64</v>
      </c>
      <c r="J22" s="17">
        <v>482.21750054841397</v>
      </c>
      <c r="K22" s="24">
        <v>484.15268050249938</v>
      </c>
      <c r="L22" s="24">
        <v>505.94</v>
      </c>
      <c r="M22" s="24">
        <v>516.62</v>
      </c>
      <c r="N22" s="25">
        <v>556.79925051345276</v>
      </c>
      <c r="O22" s="24">
        <v>563.34689579889425</v>
      </c>
      <c r="P22" s="24">
        <v>529.91</v>
      </c>
      <c r="Q22" s="24">
        <v>629.04</v>
      </c>
      <c r="R22" s="24">
        <v>640.91999999999996</v>
      </c>
      <c r="S22" s="11">
        <f t="shared" si="6"/>
        <v>646.72435708636488</v>
      </c>
      <c r="T22" s="11">
        <f t="shared" si="6"/>
        <v>666.05027433977966</v>
      </c>
      <c r="U22" s="11">
        <f t="shared" si="6"/>
        <v>685.37619159319445</v>
      </c>
      <c r="V22" s="32">
        <f t="shared" si="3"/>
        <v>6907.0971503825995</v>
      </c>
      <c r="W22" s="33">
        <f t="shared" si="7"/>
        <v>704.70210884660924</v>
      </c>
      <c r="X22" s="33">
        <f t="shared" si="8"/>
        <v>724.02802610002414</v>
      </c>
      <c r="Y22" s="33">
        <f t="shared" si="8"/>
        <v>743.35394335343881</v>
      </c>
      <c r="Z22" s="33">
        <f t="shared" si="8"/>
        <v>762.67986060685371</v>
      </c>
      <c r="AA22" s="33">
        <f t="shared" si="8"/>
        <v>782.00577786026849</v>
      </c>
      <c r="AB22" s="33">
        <f t="shared" si="8"/>
        <v>801.33169511368328</v>
      </c>
      <c r="AC22" s="33">
        <f t="shared" si="8"/>
        <v>820.65761236709807</v>
      </c>
      <c r="AD22" s="33">
        <f t="shared" si="8"/>
        <v>839.98352962051285</v>
      </c>
      <c r="AE22" s="33">
        <f t="shared" si="8"/>
        <v>859.30944687392764</v>
      </c>
      <c r="AF22" s="33">
        <f t="shared" si="8"/>
        <v>878.63536412734243</v>
      </c>
      <c r="AG22" s="33">
        <f t="shared" si="8"/>
        <v>897.96128138075733</v>
      </c>
      <c r="AH22" s="33">
        <f t="shared" si="8"/>
        <v>917.287198634172</v>
      </c>
      <c r="AI22" s="38">
        <f t="shared" si="5"/>
        <v>9731.9358448846888</v>
      </c>
    </row>
    <row r="23" spans="1:35" s="15" customFormat="1">
      <c r="A23" s="3">
        <v>1075</v>
      </c>
      <c r="B23" s="1" t="s">
        <v>65</v>
      </c>
      <c r="C23" s="1" t="s">
        <v>27</v>
      </c>
      <c r="D23" s="1" t="s">
        <v>44</v>
      </c>
      <c r="E23" s="4" t="s">
        <v>14</v>
      </c>
      <c r="F23" s="4">
        <v>81593</v>
      </c>
      <c r="G23" s="4">
        <v>2008</v>
      </c>
      <c r="H23" s="4"/>
      <c r="I23" s="44" t="s">
        <v>66</v>
      </c>
      <c r="J23" s="17">
        <v>0</v>
      </c>
      <c r="K23" s="24">
        <v>0</v>
      </c>
      <c r="L23" s="24">
        <v>0</v>
      </c>
      <c r="M23" s="24">
        <v>0</v>
      </c>
      <c r="N23" s="25">
        <v>133.11592703180384</v>
      </c>
      <c r="O23" s="24">
        <v>148.03096229229243</v>
      </c>
      <c r="P23" s="24">
        <v>201.34</v>
      </c>
      <c r="Q23" s="24">
        <v>216.87</v>
      </c>
      <c r="R23" s="24">
        <v>206.31</v>
      </c>
      <c r="S23" s="11">
        <f t="shared" si="6"/>
        <v>271.26191158454998</v>
      </c>
      <c r="T23" s="11">
        <f t="shared" si="6"/>
        <v>304.91042846720347</v>
      </c>
      <c r="U23" s="11">
        <f t="shared" si="6"/>
        <v>338.55894534985691</v>
      </c>
      <c r="V23" s="32">
        <f t="shared" si="3"/>
        <v>1820.3981747257067</v>
      </c>
      <c r="W23" s="33">
        <f t="shared" si="7"/>
        <v>372.20746223251035</v>
      </c>
      <c r="X23" s="33">
        <f t="shared" si="8"/>
        <v>405.85597911516379</v>
      </c>
      <c r="Y23" s="33">
        <f t="shared" si="8"/>
        <v>439.50449599781723</v>
      </c>
      <c r="Z23" s="33">
        <f t="shared" si="8"/>
        <v>473.15301288047073</v>
      </c>
      <c r="AA23" s="33">
        <f t="shared" si="8"/>
        <v>506.80152976312417</v>
      </c>
      <c r="AB23" s="33">
        <f t="shared" si="8"/>
        <v>540.45004664577755</v>
      </c>
      <c r="AC23" s="33">
        <f t="shared" si="8"/>
        <v>574.09856352843099</v>
      </c>
      <c r="AD23" s="33">
        <f t="shared" si="8"/>
        <v>607.74708041108454</v>
      </c>
      <c r="AE23" s="33">
        <f t="shared" si="8"/>
        <v>641.39559729373798</v>
      </c>
      <c r="AF23" s="33">
        <f t="shared" si="8"/>
        <v>675.04411417639142</v>
      </c>
      <c r="AG23" s="33">
        <f t="shared" si="8"/>
        <v>708.69263105904497</v>
      </c>
      <c r="AH23" s="33">
        <f t="shared" si="8"/>
        <v>742.34114794169841</v>
      </c>
      <c r="AI23" s="38">
        <f t="shared" si="5"/>
        <v>6687.2916610452521</v>
      </c>
    </row>
    <row r="24" spans="1:35" s="43" customFormat="1">
      <c r="A24" s="3">
        <v>1021</v>
      </c>
      <c r="B24" s="1" t="s">
        <v>67</v>
      </c>
      <c r="C24" s="1" t="s">
        <v>12</v>
      </c>
      <c r="D24" s="1" t="s">
        <v>38</v>
      </c>
      <c r="E24" s="45" t="s">
        <v>68</v>
      </c>
      <c r="F24" s="5" t="s">
        <v>40</v>
      </c>
      <c r="G24" s="44">
        <v>3000</v>
      </c>
      <c r="H24" s="44"/>
      <c r="I24" s="44" t="s">
        <v>69</v>
      </c>
      <c r="J24" s="17">
        <v>137.5</v>
      </c>
      <c r="K24" s="24">
        <v>160.65</v>
      </c>
      <c r="L24" s="24">
        <v>174.9</v>
      </c>
      <c r="M24" s="24">
        <v>295.57</v>
      </c>
      <c r="N24" s="25">
        <v>565.78</v>
      </c>
      <c r="O24" s="24">
        <v>390.25</v>
      </c>
      <c r="P24" s="24">
        <v>334.67</v>
      </c>
      <c r="Q24" s="24">
        <v>377.58</v>
      </c>
      <c r="R24" s="24">
        <v>415.46</v>
      </c>
      <c r="S24" s="11">
        <f t="shared" si="6"/>
        <v>466.16766475418353</v>
      </c>
      <c r="T24" s="11">
        <f t="shared" si="6"/>
        <v>502.75197850143059</v>
      </c>
      <c r="U24" s="11">
        <f t="shared" si="6"/>
        <v>539.33629224867764</v>
      </c>
      <c r="V24" s="32">
        <f t="shared" si="3"/>
        <v>4360.615935504291</v>
      </c>
      <c r="W24" s="33">
        <f t="shared" si="7"/>
        <v>575.92060599592469</v>
      </c>
      <c r="X24" s="33">
        <f t="shared" si="8"/>
        <v>612.50491974317174</v>
      </c>
      <c r="Y24" s="33">
        <f t="shared" si="8"/>
        <v>649.08923349041868</v>
      </c>
      <c r="Z24" s="33">
        <f t="shared" si="8"/>
        <v>685.67354723766573</v>
      </c>
      <c r="AA24" s="33">
        <f t="shared" si="8"/>
        <v>722.25786098491278</v>
      </c>
      <c r="AB24" s="33">
        <f t="shared" si="8"/>
        <v>758.84217473215983</v>
      </c>
      <c r="AC24" s="33">
        <f t="shared" si="8"/>
        <v>795.42648847940688</v>
      </c>
      <c r="AD24" s="33">
        <f t="shared" si="8"/>
        <v>832.01080222665382</v>
      </c>
      <c r="AE24" s="33">
        <f t="shared" si="8"/>
        <v>868.59511597390087</v>
      </c>
      <c r="AF24" s="33">
        <f t="shared" si="8"/>
        <v>905.17942972114793</v>
      </c>
      <c r="AG24" s="33">
        <f t="shared" si="8"/>
        <v>941.76374346839498</v>
      </c>
      <c r="AH24" s="33">
        <f t="shared" si="8"/>
        <v>978.34805721564203</v>
      </c>
      <c r="AI24" s="38">
        <f t="shared" si="5"/>
        <v>9325.6119792694008</v>
      </c>
    </row>
    <row r="25" spans="1:35">
      <c r="A25" s="3">
        <v>535</v>
      </c>
      <c r="B25" s="1" t="s">
        <v>70</v>
      </c>
      <c r="C25" s="1" t="s">
        <v>22</v>
      </c>
      <c r="D25" s="1" t="s">
        <v>23</v>
      </c>
      <c r="E25" s="4" t="s">
        <v>14</v>
      </c>
      <c r="F25" s="4">
        <v>81593</v>
      </c>
      <c r="G25" s="4">
        <v>2009</v>
      </c>
      <c r="H25" s="4"/>
      <c r="I25" s="1" t="s">
        <v>71</v>
      </c>
      <c r="J25" s="17">
        <v>9757.5326435747811</v>
      </c>
      <c r="K25" s="24">
        <v>9981.4914397257598</v>
      </c>
      <c r="L25" s="24">
        <v>8689.1299999999992</v>
      </c>
      <c r="M25" s="24">
        <v>9542.61</v>
      </c>
      <c r="N25" s="25">
        <v>9932.1460325696589</v>
      </c>
      <c r="O25" s="24">
        <v>10598.629064792322</v>
      </c>
      <c r="P25" s="24">
        <v>9807.44</v>
      </c>
      <c r="Q25" s="24">
        <v>11958.14</v>
      </c>
      <c r="R25" s="24">
        <v>12101.78</v>
      </c>
      <c r="S25" s="11">
        <f t="shared" si="6"/>
        <v>12149.493903348823</v>
      </c>
      <c r="T25" s="11">
        <f t="shared" si="6"/>
        <v>12458.715584023201</v>
      </c>
      <c r="U25" s="11">
        <f t="shared" si="6"/>
        <v>12767.937264697577</v>
      </c>
      <c r="V25" s="32">
        <f t="shared" si="3"/>
        <v>129745.04593273213</v>
      </c>
      <c r="W25" s="33">
        <f t="shared" si="7"/>
        <v>13077.158945371953</v>
      </c>
      <c r="X25" s="33">
        <f t="shared" si="8"/>
        <v>13386.380626046332</v>
      </c>
      <c r="Y25" s="33">
        <f t="shared" si="8"/>
        <v>13695.602306720708</v>
      </c>
      <c r="Z25" s="33">
        <f t="shared" si="8"/>
        <v>14004.823987395084</v>
      </c>
      <c r="AA25" s="33">
        <f t="shared" si="8"/>
        <v>14314.045668069462</v>
      </c>
      <c r="AB25" s="33">
        <f t="shared" si="8"/>
        <v>14623.267348743841</v>
      </c>
      <c r="AC25" s="33">
        <f t="shared" si="8"/>
        <v>14932.489029418217</v>
      </c>
      <c r="AD25" s="33">
        <f t="shared" si="8"/>
        <v>15241.710710092593</v>
      </c>
      <c r="AE25" s="33">
        <f t="shared" si="8"/>
        <v>15550.932390766971</v>
      </c>
      <c r="AF25" s="33">
        <f t="shared" si="8"/>
        <v>15860.154071441348</v>
      </c>
      <c r="AG25" s="33">
        <f t="shared" si="8"/>
        <v>16169.375752115724</v>
      </c>
      <c r="AH25" s="33">
        <f t="shared" si="8"/>
        <v>16478.597432790102</v>
      </c>
      <c r="AI25" s="38">
        <f t="shared" si="5"/>
        <v>177334.5382689723</v>
      </c>
    </row>
    <row r="26" spans="1:35">
      <c r="A26" s="3">
        <v>492</v>
      </c>
      <c r="B26" s="1" t="s">
        <v>72</v>
      </c>
      <c r="C26" s="1" t="s">
        <v>22</v>
      </c>
      <c r="D26" s="1" t="s">
        <v>34</v>
      </c>
      <c r="E26" s="4" t="s">
        <v>14</v>
      </c>
      <c r="F26" s="4">
        <v>81593</v>
      </c>
      <c r="G26" s="4">
        <v>2011</v>
      </c>
      <c r="H26" s="4"/>
      <c r="I26" s="1" t="s">
        <v>73</v>
      </c>
      <c r="J26" s="17">
        <v>1132.9989821436407</v>
      </c>
      <c r="K26" s="24">
        <v>1222.5630554221941</v>
      </c>
      <c r="L26" s="24">
        <v>1221.8800000000001</v>
      </c>
      <c r="M26" s="24">
        <v>988.06</v>
      </c>
      <c r="N26" s="25">
        <v>910.77170372978776</v>
      </c>
      <c r="O26" s="24">
        <v>861.8408264948165</v>
      </c>
      <c r="P26" s="24">
        <v>768.93</v>
      </c>
      <c r="Q26" s="24">
        <v>833.86</v>
      </c>
      <c r="R26" s="24">
        <v>927.03</v>
      </c>
      <c r="S26" s="11">
        <f t="shared" si="6"/>
        <v>861.4029641329281</v>
      </c>
      <c r="T26" s="11">
        <f t="shared" si="6"/>
        <v>811.23590002894684</v>
      </c>
      <c r="U26" s="11">
        <f t="shared" si="6"/>
        <v>761.06883592496547</v>
      </c>
      <c r="V26" s="32">
        <f t="shared" si="3"/>
        <v>11301.642267877281</v>
      </c>
      <c r="W26" s="33">
        <f t="shared" si="7"/>
        <v>710.90177182098421</v>
      </c>
      <c r="X26" s="33">
        <f t="shared" si="8"/>
        <v>660.73470771700295</v>
      </c>
      <c r="Y26" s="33">
        <f t="shared" si="8"/>
        <v>610.56764361302169</v>
      </c>
      <c r="Z26" s="33">
        <f t="shared" si="8"/>
        <v>560.40057950904043</v>
      </c>
      <c r="AA26" s="33">
        <f t="shared" si="8"/>
        <v>510.23351540505911</v>
      </c>
      <c r="AB26" s="33">
        <f t="shared" si="8"/>
        <v>460.06645130107785</v>
      </c>
      <c r="AC26" s="33">
        <f t="shared" si="8"/>
        <v>409.89938719709653</v>
      </c>
      <c r="AD26" s="33">
        <f t="shared" si="8"/>
        <v>359.73232309311527</v>
      </c>
      <c r="AE26" s="33">
        <f t="shared" si="8"/>
        <v>309.56525898913401</v>
      </c>
      <c r="AF26" s="33">
        <f t="shared" si="8"/>
        <v>259.39819488515275</v>
      </c>
      <c r="AG26" s="33">
        <f t="shared" si="8"/>
        <v>209.23113078117137</v>
      </c>
      <c r="AH26" s="33">
        <f t="shared" si="8"/>
        <v>159.06406667719011</v>
      </c>
      <c r="AI26" s="38">
        <f t="shared" si="5"/>
        <v>5219.7950309890457</v>
      </c>
    </row>
    <row r="27" spans="1:35">
      <c r="A27" s="3">
        <v>569</v>
      </c>
      <c r="B27" s="1" t="s">
        <v>74</v>
      </c>
      <c r="C27" s="1" t="s">
        <v>27</v>
      </c>
      <c r="D27" s="1" t="s">
        <v>28</v>
      </c>
      <c r="E27" s="4" t="s">
        <v>14</v>
      </c>
      <c r="F27" s="4">
        <v>81593</v>
      </c>
      <c r="G27" s="4">
        <v>2005</v>
      </c>
      <c r="H27" s="4"/>
      <c r="I27" s="1" t="s">
        <v>75</v>
      </c>
      <c r="J27" s="17">
        <v>314.5490023252753</v>
      </c>
      <c r="K27" s="24">
        <v>318.58679477554574</v>
      </c>
      <c r="L27" s="24">
        <v>298.32</v>
      </c>
      <c r="M27" s="24">
        <v>298.83999999999997</v>
      </c>
      <c r="N27" s="25">
        <v>316.74978712619088</v>
      </c>
      <c r="O27" s="24">
        <v>363.78311678619019</v>
      </c>
      <c r="P27" s="24">
        <v>301.82</v>
      </c>
      <c r="Q27" s="24">
        <v>346.42</v>
      </c>
      <c r="R27" s="24">
        <v>232.04</v>
      </c>
      <c r="S27" s="11">
        <f t="shared" si="6"/>
        <v>288.81086848453089</v>
      </c>
      <c r="T27" s="11">
        <f t="shared" si="6"/>
        <v>285.96492836614601</v>
      </c>
      <c r="U27" s="11">
        <f t="shared" si="6"/>
        <v>283.11898824776114</v>
      </c>
      <c r="V27" s="32">
        <f t="shared" si="3"/>
        <v>3649.0034861116401</v>
      </c>
      <c r="W27" s="33">
        <f t="shared" si="7"/>
        <v>280.27304812937626</v>
      </c>
      <c r="X27" s="33">
        <f t="shared" si="8"/>
        <v>277.42710801099139</v>
      </c>
      <c r="Y27" s="33">
        <f t="shared" si="8"/>
        <v>274.58116789260652</v>
      </c>
      <c r="Z27" s="33">
        <f t="shared" si="8"/>
        <v>271.73522777422164</v>
      </c>
      <c r="AA27" s="33">
        <f t="shared" si="8"/>
        <v>268.88928765583677</v>
      </c>
      <c r="AB27" s="33">
        <f t="shared" si="8"/>
        <v>266.04334753745189</v>
      </c>
      <c r="AC27" s="33">
        <f t="shared" si="8"/>
        <v>263.19740741906696</v>
      </c>
      <c r="AD27" s="33">
        <f t="shared" si="8"/>
        <v>260.35146730068209</v>
      </c>
      <c r="AE27" s="33">
        <f t="shared" si="8"/>
        <v>257.50552718229721</v>
      </c>
      <c r="AF27" s="33">
        <f t="shared" si="8"/>
        <v>254.6595870639124</v>
      </c>
      <c r="AG27" s="33">
        <f t="shared" si="8"/>
        <v>251.81364694552747</v>
      </c>
      <c r="AH27" s="33">
        <f t="shared" si="8"/>
        <v>248.96770682714262</v>
      </c>
      <c r="AI27" s="38">
        <f t="shared" si="5"/>
        <v>3175.4445297391135</v>
      </c>
    </row>
    <row r="28" spans="1:35" s="9" customFormat="1">
      <c r="A28" s="27">
        <v>926</v>
      </c>
      <c r="B28" s="28" t="s">
        <v>76</v>
      </c>
      <c r="C28" s="28" t="s">
        <v>12</v>
      </c>
      <c r="D28" s="28" t="s">
        <v>77</v>
      </c>
      <c r="E28" s="29" t="s">
        <v>14</v>
      </c>
      <c r="F28" s="30">
        <v>81593</v>
      </c>
      <c r="G28" s="30">
        <v>2009</v>
      </c>
      <c r="H28" s="49" t="s">
        <v>78</v>
      </c>
      <c r="I28" s="30">
        <v>211125673203</v>
      </c>
      <c r="J28" s="17">
        <v>251.72661804062651</v>
      </c>
      <c r="K28" s="24">
        <v>249.5199069760065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11">
        <f t="shared" si="6"/>
        <v>0</v>
      </c>
      <c r="T28" s="11">
        <f t="shared" si="6"/>
        <v>0</v>
      </c>
      <c r="U28" s="11">
        <f t="shared" si="6"/>
        <v>0</v>
      </c>
      <c r="V28" s="32">
        <f t="shared" si="3"/>
        <v>501.24652501663297</v>
      </c>
      <c r="W28" s="33">
        <f t="shared" si="7"/>
        <v>0</v>
      </c>
      <c r="X28" s="33">
        <f t="shared" si="8"/>
        <v>0</v>
      </c>
      <c r="Y28" s="33">
        <f t="shared" si="8"/>
        <v>0</v>
      </c>
      <c r="Z28" s="33">
        <f t="shared" si="8"/>
        <v>0</v>
      </c>
      <c r="AA28" s="33">
        <f t="shared" si="8"/>
        <v>0</v>
      </c>
      <c r="AB28" s="33">
        <f t="shared" si="8"/>
        <v>0</v>
      </c>
      <c r="AC28" s="33">
        <f t="shared" si="8"/>
        <v>0</v>
      </c>
      <c r="AD28" s="33">
        <f t="shared" si="8"/>
        <v>0</v>
      </c>
      <c r="AE28" s="33">
        <f t="shared" si="8"/>
        <v>0</v>
      </c>
      <c r="AF28" s="33">
        <f t="shared" si="8"/>
        <v>0</v>
      </c>
      <c r="AG28" s="33">
        <f t="shared" si="8"/>
        <v>0</v>
      </c>
      <c r="AH28" s="33">
        <f t="shared" si="8"/>
        <v>0</v>
      </c>
      <c r="AI28" s="38">
        <f t="shared" si="5"/>
        <v>0</v>
      </c>
    </row>
    <row r="29" spans="1:35" s="15" customFormat="1">
      <c r="A29" s="16">
        <v>1077</v>
      </c>
      <c r="B29" s="10" t="s">
        <v>79</v>
      </c>
      <c r="C29" s="10" t="s">
        <v>27</v>
      </c>
      <c r="D29" s="10" t="s">
        <v>44</v>
      </c>
      <c r="E29" s="4" t="s">
        <v>14</v>
      </c>
      <c r="F29" s="4">
        <v>81593</v>
      </c>
      <c r="G29" s="4">
        <v>2008</v>
      </c>
      <c r="H29" s="4"/>
      <c r="I29" s="44" t="s">
        <v>80</v>
      </c>
      <c r="J29" s="17">
        <v>0</v>
      </c>
      <c r="K29" s="24">
        <v>0</v>
      </c>
      <c r="L29" s="24">
        <v>0</v>
      </c>
      <c r="M29" s="24">
        <v>0</v>
      </c>
      <c r="N29" s="25">
        <v>212.16307456479359</v>
      </c>
      <c r="O29" s="24">
        <v>393.36359640470505</v>
      </c>
      <c r="P29" s="24">
        <v>396.36</v>
      </c>
      <c r="Q29" s="24">
        <v>427.75</v>
      </c>
      <c r="R29" s="24">
        <v>437.61</v>
      </c>
      <c r="S29" s="11">
        <f t="shared" si="6"/>
        <v>514.29294127652724</v>
      </c>
      <c r="T29" s="11">
        <f t="shared" si="6"/>
        <v>584.49144299696252</v>
      </c>
      <c r="U29" s="11">
        <f t="shared" si="6"/>
        <v>654.68994471739779</v>
      </c>
      <c r="V29" s="32">
        <f t="shared" si="3"/>
        <v>3620.7209999603865</v>
      </c>
      <c r="W29" s="33">
        <f t="shared" si="7"/>
        <v>724.88844643783295</v>
      </c>
      <c r="X29" s="33">
        <f t="shared" si="8"/>
        <v>795.08694815826811</v>
      </c>
      <c r="Y29" s="33">
        <f t="shared" si="8"/>
        <v>865.2854498787035</v>
      </c>
      <c r="Z29" s="33">
        <f t="shared" si="8"/>
        <v>935.48395159913866</v>
      </c>
      <c r="AA29" s="33">
        <f t="shared" si="8"/>
        <v>1005.6824533195738</v>
      </c>
      <c r="AB29" s="33">
        <f t="shared" si="8"/>
        <v>1075.8809550400092</v>
      </c>
      <c r="AC29" s="33">
        <f t="shared" si="8"/>
        <v>1146.0794567604444</v>
      </c>
      <c r="AD29" s="33">
        <f t="shared" si="8"/>
        <v>1216.2779584808795</v>
      </c>
      <c r="AE29" s="33">
        <f t="shared" si="8"/>
        <v>1286.4764602013149</v>
      </c>
      <c r="AF29" s="33">
        <f t="shared" si="8"/>
        <v>1356.6749619217501</v>
      </c>
      <c r="AG29" s="33">
        <f t="shared" si="8"/>
        <v>1426.8734636421852</v>
      </c>
      <c r="AH29" s="33">
        <f t="shared" si="8"/>
        <v>1497.0719653626206</v>
      </c>
      <c r="AI29" s="38">
        <f t="shared" si="5"/>
        <v>13331.762470802722</v>
      </c>
    </row>
    <row r="30" spans="1:35" s="9" customFormat="1">
      <c r="A30" s="27">
        <v>937</v>
      </c>
      <c r="B30" s="28" t="s">
        <v>81</v>
      </c>
      <c r="C30" s="28" t="s">
        <v>27</v>
      </c>
      <c r="D30" s="28" t="s">
        <v>28</v>
      </c>
      <c r="E30" s="29" t="s">
        <v>14</v>
      </c>
      <c r="F30" s="30">
        <v>81593</v>
      </c>
      <c r="G30" s="30">
        <v>2005</v>
      </c>
      <c r="H30" s="49" t="s">
        <v>82</v>
      </c>
      <c r="I30" s="30">
        <v>211125747794</v>
      </c>
      <c r="J30" s="17">
        <v>3431.543482867547</v>
      </c>
      <c r="K30" s="24">
        <v>3093.8821468939154</v>
      </c>
      <c r="L30" s="24">
        <v>2415.41</v>
      </c>
      <c r="M30" s="24">
        <v>2222.3000000000002</v>
      </c>
      <c r="N30" s="25">
        <v>2320.8352714368298</v>
      </c>
      <c r="O30" s="24">
        <v>1042.3771039492149</v>
      </c>
      <c r="P30" s="24">
        <v>584.32000000000005</v>
      </c>
      <c r="Q30" s="24">
        <v>189.02</v>
      </c>
      <c r="R30" s="24">
        <v>0</v>
      </c>
      <c r="S30" s="11">
        <f t="shared" si="6"/>
        <v>0</v>
      </c>
      <c r="T30" s="11">
        <f t="shared" si="6"/>
        <v>0</v>
      </c>
      <c r="U30" s="11">
        <f t="shared" si="6"/>
        <v>0</v>
      </c>
      <c r="V30" s="32">
        <f t="shared" si="3"/>
        <v>15299.688005147507</v>
      </c>
      <c r="W30" s="33">
        <f t="shared" si="7"/>
        <v>0</v>
      </c>
      <c r="X30" s="33">
        <f t="shared" si="8"/>
        <v>0</v>
      </c>
      <c r="Y30" s="33">
        <f t="shared" si="8"/>
        <v>0</v>
      </c>
      <c r="Z30" s="33">
        <f t="shared" si="8"/>
        <v>0</v>
      </c>
      <c r="AA30" s="33">
        <f t="shared" si="8"/>
        <v>0</v>
      </c>
      <c r="AB30" s="33">
        <f t="shared" si="8"/>
        <v>0</v>
      </c>
      <c r="AC30" s="33">
        <f t="shared" si="8"/>
        <v>0</v>
      </c>
      <c r="AD30" s="33">
        <f t="shared" si="8"/>
        <v>0</v>
      </c>
      <c r="AE30" s="33">
        <f t="shared" si="8"/>
        <v>0</v>
      </c>
      <c r="AF30" s="33">
        <f t="shared" si="8"/>
        <v>0</v>
      </c>
      <c r="AG30" s="33">
        <f t="shared" si="8"/>
        <v>0</v>
      </c>
      <c r="AH30" s="33">
        <f t="shared" si="8"/>
        <v>0</v>
      </c>
      <c r="AI30" s="38">
        <f t="shared" si="5"/>
        <v>0</v>
      </c>
    </row>
    <row r="31" spans="1:35">
      <c r="A31" s="3">
        <v>717</v>
      </c>
      <c r="B31" s="1" t="s">
        <v>83</v>
      </c>
      <c r="C31" s="1" t="s">
        <v>22</v>
      </c>
      <c r="D31" s="1" t="s">
        <v>34</v>
      </c>
      <c r="E31" s="4" t="s">
        <v>14</v>
      </c>
      <c r="F31" s="4">
        <v>81593</v>
      </c>
      <c r="G31" s="4">
        <v>2011</v>
      </c>
      <c r="H31" s="4"/>
      <c r="I31" s="1" t="s">
        <v>84</v>
      </c>
      <c r="J31" s="17">
        <v>330.12400715131838</v>
      </c>
      <c r="K31" s="24">
        <v>328.72544600409378</v>
      </c>
      <c r="L31" s="24">
        <v>309.24</v>
      </c>
      <c r="M31" s="24">
        <v>333.19</v>
      </c>
      <c r="N31" s="25">
        <v>400.50078582901517</v>
      </c>
      <c r="O31" s="24">
        <v>293.79062372289525</v>
      </c>
      <c r="P31" s="24">
        <v>309.10000000000002</v>
      </c>
      <c r="Q31" s="24">
        <v>354.31</v>
      </c>
      <c r="R31" s="24">
        <v>443.16</v>
      </c>
      <c r="S31" s="11">
        <f t="shared" si="6"/>
        <v>392.29172246449485</v>
      </c>
      <c r="T31" s="11">
        <f t="shared" si="6"/>
        <v>400.33981245378129</v>
      </c>
      <c r="U31" s="11">
        <f t="shared" si="6"/>
        <v>408.38790244306773</v>
      </c>
      <c r="V31" s="32">
        <f t="shared" si="3"/>
        <v>4303.1603000686664</v>
      </c>
      <c r="W31" s="33">
        <f t="shared" si="7"/>
        <v>416.43599243235417</v>
      </c>
      <c r="X31" s="33">
        <f t="shared" si="8"/>
        <v>424.48408242164061</v>
      </c>
      <c r="Y31" s="33">
        <f t="shared" si="8"/>
        <v>432.53217241092705</v>
      </c>
      <c r="Z31" s="33">
        <f t="shared" si="8"/>
        <v>440.58026240021348</v>
      </c>
      <c r="AA31" s="33">
        <f t="shared" si="8"/>
        <v>448.62835238949992</v>
      </c>
      <c r="AB31" s="33">
        <f t="shared" si="8"/>
        <v>456.67644237878636</v>
      </c>
      <c r="AC31" s="33">
        <f t="shared" si="8"/>
        <v>464.7245323680728</v>
      </c>
      <c r="AD31" s="33">
        <f t="shared" si="8"/>
        <v>472.77262235735924</v>
      </c>
      <c r="AE31" s="33">
        <f t="shared" si="8"/>
        <v>480.82071234664568</v>
      </c>
      <c r="AF31" s="33">
        <f t="shared" si="8"/>
        <v>488.86880233593206</v>
      </c>
      <c r="AG31" s="33">
        <f t="shared" si="8"/>
        <v>496.91689232521856</v>
      </c>
      <c r="AH31" s="33">
        <f t="shared" si="8"/>
        <v>504.96498231450494</v>
      </c>
      <c r="AI31" s="38">
        <f t="shared" si="5"/>
        <v>5528.405848481154</v>
      </c>
    </row>
    <row r="32" spans="1:35">
      <c r="A32" s="3">
        <v>635</v>
      </c>
      <c r="B32" s="1" t="s">
        <v>85</v>
      </c>
      <c r="C32" s="1" t="s">
        <v>22</v>
      </c>
      <c r="D32" s="1" t="s">
        <v>77</v>
      </c>
      <c r="E32" s="4" t="s">
        <v>14</v>
      </c>
      <c r="F32" s="4">
        <v>81593</v>
      </c>
      <c r="G32" s="4">
        <v>2009</v>
      </c>
      <c r="H32" s="4"/>
      <c r="I32" s="1" t="s">
        <v>86</v>
      </c>
      <c r="J32" s="17">
        <v>6177.232406879305</v>
      </c>
      <c r="K32" s="24">
        <v>6685.0073847373169</v>
      </c>
      <c r="L32" s="24">
        <v>6205.32</v>
      </c>
      <c r="M32" s="24">
        <v>9454.6</v>
      </c>
      <c r="N32" s="25">
        <v>4958.0427974764571</v>
      </c>
      <c r="O32" s="24">
        <v>4957.0712759044372</v>
      </c>
      <c r="P32" s="24">
        <v>4289.9799999999996</v>
      </c>
      <c r="Q32" s="24">
        <v>6241.65</v>
      </c>
      <c r="R32" s="24">
        <v>6979.61</v>
      </c>
      <c r="S32" s="11">
        <f t="shared" si="6"/>
        <v>5239.0009986129535</v>
      </c>
      <c r="T32" s="11">
        <f t="shared" si="6"/>
        <v>5135.6497563278399</v>
      </c>
      <c r="U32" s="11">
        <f t="shared" si="6"/>
        <v>5032.2985140427299</v>
      </c>
      <c r="V32" s="32">
        <f t="shared" si="3"/>
        <v>71355.463133981044</v>
      </c>
      <c r="W32" s="33">
        <f t="shared" si="7"/>
        <v>4928.9472717576164</v>
      </c>
      <c r="X32" s="33">
        <f t="shared" si="8"/>
        <v>4825.5960294725055</v>
      </c>
      <c r="Y32" s="33">
        <f t="shared" si="8"/>
        <v>4722.2447871873928</v>
      </c>
      <c r="Z32" s="33">
        <f t="shared" si="8"/>
        <v>4618.893544902282</v>
      </c>
      <c r="AA32" s="33">
        <f t="shared" si="8"/>
        <v>4515.5423026171684</v>
      </c>
      <c r="AB32" s="33">
        <f t="shared" si="8"/>
        <v>4412.1910603320584</v>
      </c>
      <c r="AC32" s="33">
        <f t="shared" si="8"/>
        <v>4308.8398180469449</v>
      </c>
      <c r="AD32" s="33">
        <f t="shared" si="8"/>
        <v>4205.4885757618349</v>
      </c>
      <c r="AE32" s="33">
        <f t="shared" si="8"/>
        <v>4102.1373334767213</v>
      </c>
      <c r="AF32" s="33">
        <f t="shared" si="8"/>
        <v>3998.7860911916109</v>
      </c>
      <c r="AG32" s="33">
        <f t="shared" si="8"/>
        <v>3895.4348489064982</v>
      </c>
      <c r="AH32" s="33">
        <f t="shared" si="8"/>
        <v>3792.0836066213869</v>
      </c>
      <c r="AI32" s="38">
        <f t="shared" si="5"/>
        <v>52326.185270274022</v>
      </c>
    </row>
    <row r="33" spans="1:35">
      <c r="A33" s="27">
        <v>589</v>
      </c>
      <c r="B33" s="28" t="s">
        <v>87</v>
      </c>
      <c r="C33" s="28" t="s">
        <v>22</v>
      </c>
      <c r="D33" s="28" t="s">
        <v>23</v>
      </c>
      <c r="E33" s="29" t="s">
        <v>14</v>
      </c>
      <c r="F33" s="29">
        <v>81593</v>
      </c>
      <c r="G33" s="29">
        <v>2009</v>
      </c>
      <c r="H33" s="39" t="s">
        <v>88</v>
      </c>
      <c r="I33" s="28" t="s">
        <v>88</v>
      </c>
      <c r="J33" s="17">
        <v>390.79296845522748</v>
      </c>
      <c r="K33" s="24">
        <v>393.58928535129189</v>
      </c>
      <c r="L33" s="24">
        <v>375.44</v>
      </c>
      <c r="M33" s="24">
        <v>369.12</v>
      </c>
      <c r="N33" s="25">
        <v>313.92339499160488</v>
      </c>
      <c r="O33" s="24">
        <v>0</v>
      </c>
      <c r="P33" s="24">
        <v>0</v>
      </c>
      <c r="Q33" s="24">
        <v>0</v>
      </c>
      <c r="R33" s="24">
        <v>0</v>
      </c>
      <c r="S33" s="11">
        <f t="shared" si="6"/>
        <v>0</v>
      </c>
      <c r="T33" s="11">
        <f t="shared" si="6"/>
        <v>0</v>
      </c>
      <c r="U33" s="11">
        <f t="shared" si="6"/>
        <v>0</v>
      </c>
      <c r="V33" s="32">
        <f t="shared" si="3"/>
        <v>1842.8656487981245</v>
      </c>
      <c r="W33" s="33">
        <f t="shared" si="7"/>
        <v>0</v>
      </c>
      <c r="X33" s="33">
        <f t="shared" si="8"/>
        <v>0</v>
      </c>
      <c r="Y33" s="33">
        <f t="shared" si="8"/>
        <v>0</v>
      </c>
      <c r="Z33" s="33">
        <f t="shared" si="8"/>
        <v>0</v>
      </c>
      <c r="AA33" s="33">
        <f t="shared" si="8"/>
        <v>0</v>
      </c>
      <c r="AB33" s="33">
        <f t="shared" si="8"/>
        <v>0</v>
      </c>
      <c r="AC33" s="33">
        <f t="shared" si="8"/>
        <v>0</v>
      </c>
      <c r="AD33" s="33">
        <f t="shared" si="8"/>
        <v>0</v>
      </c>
      <c r="AE33" s="33">
        <f t="shared" si="8"/>
        <v>0</v>
      </c>
      <c r="AF33" s="33">
        <f t="shared" si="8"/>
        <v>0</v>
      </c>
      <c r="AG33" s="33">
        <f t="shared" si="8"/>
        <v>0</v>
      </c>
      <c r="AH33" s="33">
        <f t="shared" si="8"/>
        <v>0</v>
      </c>
      <c r="AI33" s="38">
        <f t="shared" si="5"/>
        <v>0</v>
      </c>
    </row>
    <row r="34" spans="1:35">
      <c r="A34" s="27">
        <v>793</v>
      </c>
      <c r="B34" s="28" t="s">
        <v>89</v>
      </c>
      <c r="C34" s="28" t="s">
        <v>12</v>
      </c>
      <c r="D34" s="28" t="s">
        <v>19</v>
      </c>
      <c r="E34" s="29" t="s">
        <v>14</v>
      </c>
      <c r="F34" s="29">
        <v>81593</v>
      </c>
      <c r="G34" s="29">
        <v>1107</v>
      </c>
      <c r="H34" s="39" t="s">
        <v>90</v>
      </c>
      <c r="I34" s="28" t="s">
        <v>91</v>
      </c>
      <c r="J34" s="17">
        <v>354.88837142982493</v>
      </c>
      <c r="K34" s="24">
        <v>378.94813183664814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11">
        <f t="shared" si="6"/>
        <v>0</v>
      </c>
      <c r="T34" s="11">
        <f t="shared" si="6"/>
        <v>0</v>
      </c>
      <c r="U34" s="11">
        <f t="shared" si="6"/>
        <v>0</v>
      </c>
      <c r="V34" s="32">
        <f t="shared" si="3"/>
        <v>733.83650326647307</v>
      </c>
      <c r="W34" s="33">
        <f t="shared" si="7"/>
        <v>0</v>
      </c>
      <c r="X34" s="33">
        <f t="shared" si="8"/>
        <v>0</v>
      </c>
      <c r="Y34" s="33">
        <f t="shared" si="8"/>
        <v>0</v>
      </c>
      <c r="Z34" s="33">
        <f t="shared" si="8"/>
        <v>0</v>
      </c>
      <c r="AA34" s="33">
        <f t="shared" si="8"/>
        <v>0</v>
      </c>
      <c r="AB34" s="33">
        <f t="shared" si="8"/>
        <v>0</v>
      </c>
      <c r="AC34" s="33">
        <f t="shared" si="8"/>
        <v>0</v>
      </c>
      <c r="AD34" s="33">
        <f t="shared" si="8"/>
        <v>0</v>
      </c>
      <c r="AE34" s="33">
        <f t="shared" si="8"/>
        <v>0</v>
      </c>
      <c r="AF34" s="33">
        <f t="shared" si="8"/>
        <v>0</v>
      </c>
      <c r="AG34" s="33">
        <f t="shared" si="8"/>
        <v>0</v>
      </c>
      <c r="AH34" s="33">
        <f t="shared" si="8"/>
        <v>0</v>
      </c>
      <c r="AI34" s="38">
        <f t="shared" si="5"/>
        <v>0</v>
      </c>
    </row>
    <row r="35" spans="1:35">
      <c r="A35" s="3">
        <v>763</v>
      </c>
      <c r="B35" s="1" t="s">
        <v>92</v>
      </c>
      <c r="C35" s="1" t="s">
        <v>12</v>
      </c>
      <c r="D35" s="1" t="s">
        <v>23</v>
      </c>
      <c r="E35" s="4" t="s">
        <v>14</v>
      </c>
      <c r="F35" s="4">
        <v>81593</v>
      </c>
      <c r="G35" s="4">
        <v>2004</v>
      </c>
      <c r="H35" s="4"/>
      <c r="I35" s="1" t="s">
        <v>93</v>
      </c>
      <c r="J35" s="17">
        <v>334.81463146580091</v>
      </c>
      <c r="K35" s="24">
        <v>338.92826591130353</v>
      </c>
      <c r="L35" s="24">
        <v>314.48</v>
      </c>
      <c r="M35" s="24">
        <v>346.56</v>
      </c>
      <c r="N35" s="25">
        <v>341.66693367008673</v>
      </c>
      <c r="O35" s="24">
        <v>345.58056884274333</v>
      </c>
      <c r="P35" s="24">
        <v>311.74</v>
      </c>
      <c r="Q35" s="24">
        <v>362.88</v>
      </c>
      <c r="R35" s="24">
        <v>369.86</v>
      </c>
      <c r="S35" s="11">
        <f t="shared" si="6"/>
        <v>360.78467659819364</v>
      </c>
      <c r="T35" s="11">
        <f t="shared" si="6"/>
        <v>364.16512284746625</v>
      </c>
      <c r="U35" s="11">
        <f t="shared" si="6"/>
        <v>367.54556909673886</v>
      </c>
      <c r="V35" s="32">
        <f t="shared" si="3"/>
        <v>4159.0057684323338</v>
      </c>
      <c r="W35" s="33">
        <f t="shared" si="7"/>
        <v>370.92601534601152</v>
      </c>
      <c r="X35" s="33">
        <f t="shared" si="8"/>
        <v>374.30646159528413</v>
      </c>
      <c r="Y35" s="33">
        <f t="shared" si="8"/>
        <v>377.68690784455674</v>
      </c>
      <c r="Z35" s="33">
        <f t="shared" si="8"/>
        <v>381.06735409382935</v>
      </c>
      <c r="AA35" s="33">
        <f t="shared" si="8"/>
        <v>384.44780034310196</v>
      </c>
      <c r="AB35" s="33">
        <f t="shared" si="8"/>
        <v>387.82824659237463</v>
      </c>
      <c r="AC35" s="33">
        <f t="shared" si="8"/>
        <v>391.20869284164723</v>
      </c>
      <c r="AD35" s="33">
        <f t="shared" si="8"/>
        <v>394.58913909091984</v>
      </c>
      <c r="AE35" s="33">
        <f t="shared" si="8"/>
        <v>397.96958534019245</v>
      </c>
      <c r="AF35" s="33">
        <f t="shared" si="8"/>
        <v>401.35003158946506</v>
      </c>
      <c r="AG35" s="33">
        <f t="shared" si="8"/>
        <v>404.73047783873767</v>
      </c>
      <c r="AH35" s="33">
        <f t="shared" si="8"/>
        <v>408.11092408801034</v>
      </c>
      <c r="AI35" s="38">
        <f t="shared" si="5"/>
        <v>4674.2216366041321</v>
      </c>
    </row>
    <row r="36" spans="1:35" s="15" customFormat="1">
      <c r="A36" s="3">
        <v>1039</v>
      </c>
      <c r="B36" s="1" t="s">
        <v>94</v>
      </c>
      <c r="C36" s="1" t="s">
        <v>27</v>
      </c>
      <c r="D36" s="1" t="s">
        <v>28</v>
      </c>
      <c r="E36" s="4" t="s">
        <v>14</v>
      </c>
      <c r="F36" s="4">
        <v>81593</v>
      </c>
      <c r="G36" s="4">
        <v>2005</v>
      </c>
      <c r="H36" s="4"/>
      <c r="I36" s="44" t="s">
        <v>95</v>
      </c>
      <c r="J36" s="17">
        <v>464.51039376124248</v>
      </c>
      <c r="K36" s="24">
        <v>649.95385138454606</v>
      </c>
      <c r="L36" s="24">
        <v>634.47</v>
      </c>
      <c r="M36" s="24">
        <v>780.54</v>
      </c>
      <c r="N36" s="25">
        <v>1168.850896004463</v>
      </c>
      <c r="O36" s="24">
        <v>2945.6629439452886</v>
      </c>
      <c r="P36" s="24">
        <v>1558.69</v>
      </c>
      <c r="Q36" s="24">
        <v>1339.68</v>
      </c>
      <c r="R36" s="24">
        <v>1322.99</v>
      </c>
      <c r="S36" s="11">
        <f t="shared" si="6"/>
        <v>1898.7849275571816</v>
      </c>
      <c r="T36" s="11">
        <f t="shared" si="6"/>
        <v>2058.3566130495765</v>
      </c>
      <c r="U36" s="11">
        <f t="shared" si="6"/>
        <v>2217.9282985419713</v>
      </c>
      <c r="V36" s="32">
        <f t="shared" si="3"/>
        <v>17040.41792424427</v>
      </c>
      <c r="W36" s="33">
        <f t="shared" si="7"/>
        <v>2377.4999840343667</v>
      </c>
      <c r="X36" s="33">
        <f t="shared" si="8"/>
        <v>2537.0716695267615</v>
      </c>
      <c r="Y36" s="33">
        <f t="shared" si="8"/>
        <v>2696.6433550191568</v>
      </c>
      <c r="Z36" s="33">
        <f t="shared" si="8"/>
        <v>2856.2150405115517</v>
      </c>
      <c r="AA36" s="33">
        <f t="shared" si="8"/>
        <v>3015.7867260039466</v>
      </c>
      <c r="AB36" s="33">
        <f t="shared" ref="X36:AH59" si="9">MAX(IF($R36=0,0,_xlfn.FORECAST.ETS(AB$1,$J36:$R36,$J$1:$R$1)),0)</f>
        <v>3175.3584114963419</v>
      </c>
      <c r="AC36" s="33">
        <f t="shared" si="9"/>
        <v>3334.9300969887372</v>
      </c>
      <c r="AD36" s="33">
        <f t="shared" si="9"/>
        <v>3494.5017824811321</v>
      </c>
      <c r="AE36" s="33">
        <f t="shared" si="9"/>
        <v>3654.0734679735269</v>
      </c>
      <c r="AF36" s="33">
        <f t="shared" si="9"/>
        <v>3813.6451534659222</v>
      </c>
      <c r="AG36" s="33">
        <f t="shared" si="9"/>
        <v>3973.2168389583171</v>
      </c>
      <c r="AH36" s="33">
        <f t="shared" si="9"/>
        <v>4132.7885244507124</v>
      </c>
      <c r="AI36" s="38">
        <f t="shared" si="5"/>
        <v>39061.731050910472</v>
      </c>
    </row>
    <row r="37" spans="1:35">
      <c r="A37" s="27">
        <v>481</v>
      </c>
      <c r="B37" s="28" t="s">
        <v>96</v>
      </c>
      <c r="C37" s="28" t="s">
        <v>22</v>
      </c>
      <c r="D37" s="28" t="s">
        <v>77</v>
      </c>
      <c r="E37" s="29" t="s">
        <v>14</v>
      </c>
      <c r="F37" s="29">
        <v>81593</v>
      </c>
      <c r="G37" s="29">
        <v>2009</v>
      </c>
      <c r="H37" s="39" t="s">
        <v>97</v>
      </c>
      <c r="I37" s="28" t="s">
        <v>98</v>
      </c>
      <c r="J37" s="17">
        <v>3377.5053586627473</v>
      </c>
      <c r="K37" s="24">
        <v>3377.8820238708067</v>
      </c>
      <c r="L37" s="24">
        <v>3337.91</v>
      </c>
      <c r="M37" s="24">
        <v>3595.79</v>
      </c>
      <c r="N37" s="25">
        <v>2091.9791371890651</v>
      </c>
      <c r="O37" s="24">
        <v>0</v>
      </c>
      <c r="P37" s="24">
        <v>0</v>
      </c>
      <c r="Q37" s="24">
        <v>0</v>
      </c>
      <c r="R37" s="24">
        <v>0</v>
      </c>
      <c r="S37" s="11">
        <f t="shared" si="6"/>
        <v>0</v>
      </c>
      <c r="T37" s="11">
        <f t="shared" si="6"/>
        <v>0</v>
      </c>
      <c r="U37" s="11">
        <f t="shared" si="6"/>
        <v>0</v>
      </c>
      <c r="V37" s="32">
        <f t="shared" si="3"/>
        <v>15781.066519722619</v>
      </c>
      <c r="W37" s="33">
        <f t="shared" si="7"/>
        <v>0</v>
      </c>
      <c r="X37" s="33">
        <f t="shared" si="9"/>
        <v>0</v>
      </c>
      <c r="Y37" s="33">
        <f t="shared" si="9"/>
        <v>0</v>
      </c>
      <c r="Z37" s="33">
        <f t="shared" si="9"/>
        <v>0</v>
      </c>
      <c r="AA37" s="33">
        <f t="shared" si="9"/>
        <v>0</v>
      </c>
      <c r="AB37" s="33">
        <f t="shared" si="9"/>
        <v>0</v>
      </c>
      <c r="AC37" s="33">
        <f t="shared" si="9"/>
        <v>0</v>
      </c>
      <c r="AD37" s="33">
        <f t="shared" si="9"/>
        <v>0</v>
      </c>
      <c r="AE37" s="33">
        <f t="shared" si="9"/>
        <v>0</v>
      </c>
      <c r="AF37" s="33">
        <f t="shared" si="9"/>
        <v>0</v>
      </c>
      <c r="AG37" s="33">
        <f t="shared" si="9"/>
        <v>0</v>
      </c>
      <c r="AH37" s="33">
        <f t="shared" si="9"/>
        <v>0</v>
      </c>
      <c r="AI37" s="38">
        <f t="shared" si="5"/>
        <v>0</v>
      </c>
    </row>
    <row r="38" spans="1:35" s="15" customFormat="1">
      <c r="A38" s="3">
        <v>1035</v>
      </c>
      <c r="B38" s="1" t="s">
        <v>99</v>
      </c>
      <c r="C38" s="1" t="s">
        <v>27</v>
      </c>
      <c r="D38" s="1" t="s">
        <v>44</v>
      </c>
      <c r="E38" s="4" t="s">
        <v>14</v>
      </c>
      <c r="F38" s="4">
        <v>81593</v>
      </c>
      <c r="G38" s="4">
        <v>2008</v>
      </c>
      <c r="H38" s="4"/>
      <c r="I38" s="44" t="s">
        <v>100</v>
      </c>
      <c r="J38" s="17">
        <v>2059.6744575088842</v>
      </c>
      <c r="K38" s="24">
        <v>2067.7501116349513</v>
      </c>
      <c r="L38" s="24">
        <v>1787.6</v>
      </c>
      <c r="M38" s="24">
        <v>1960.51</v>
      </c>
      <c r="N38" s="25">
        <v>1972.6380454702262</v>
      </c>
      <c r="O38" s="24">
        <v>2044.5671818031562</v>
      </c>
      <c r="P38" s="24">
        <v>596.77</v>
      </c>
      <c r="Q38" s="24">
        <v>347.9</v>
      </c>
      <c r="R38" s="24">
        <v>770.21</v>
      </c>
      <c r="S38" s="11">
        <f t="shared" si="6"/>
        <v>410.35563600589694</v>
      </c>
      <c r="T38" s="11">
        <f t="shared" si="6"/>
        <v>201.04659687139034</v>
      </c>
      <c r="U38" s="11">
        <f t="shared" si="6"/>
        <v>0</v>
      </c>
      <c r="V38" s="32">
        <f t="shared" si="3"/>
        <v>14219.022029294509</v>
      </c>
      <c r="W38" s="33">
        <f t="shared" si="7"/>
        <v>0</v>
      </c>
      <c r="X38" s="33">
        <f t="shared" si="9"/>
        <v>0</v>
      </c>
      <c r="Y38" s="33">
        <f t="shared" si="9"/>
        <v>0</v>
      </c>
      <c r="Z38" s="33">
        <f t="shared" si="9"/>
        <v>0</v>
      </c>
      <c r="AA38" s="33">
        <f t="shared" si="9"/>
        <v>0</v>
      </c>
      <c r="AB38" s="33">
        <f t="shared" si="9"/>
        <v>0</v>
      </c>
      <c r="AC38" s="33">
        <f t="shared" si="9"/>
        <v>0</v>
      </c>
      <c r="AD38" s="33">
        <f t="shared" si="9"/>
        <v>0</v>
      </c>
      <c r="AE38" s="33">
        <f t="shared" si="9"/>
        <v>0</v>
      </c>
      <c r="AF38" s="33">
        <f t="shared" si="9"/>
        <v>0</v>
      </c>
      <c r="AG38" s="33">
        <f t="shared" si="9"/>
        <v>0</v>
      </c>
      <c r="AH38" s="33">
        <f t="shared" si="9"/>
        <v>0</v>
      </c>
      <c r="AI38" s="38">
        <f t="shared" si="5"/>
        <v>0</v>
      </c>
    </row>
    <row r="39" spans="1:35">
      <c r="A39" s="3">
        <v>601</v>
      </c>
      <c r="B39" s="1" t="s">
        <v>101</v>
      </c>
      <c r="C39" s="1" t="s">
        <v>22</v>
      </c>
      <c r="D39" s="1" t="s">
        <v>28</v>
      </c>
      <c r="E39" s="4" t="s">
        <v>14</v>
      </c>
      <c r="F39" s="4">
        <v>81593</v>
      </c>
      <c r="G39" s="4">
        <v>2010</v>
      </c>
      <c r="H39" s="4"/>
      <c r="I39" s="1" t="s">
        <v>102</v>
      </c>
      <c r="J39" s="17">
        <v>14130.388481770718</v>
      </c>
      <c r="K39" s="24">
        <v>30268.440588180634</v>
      </c>
      <c r="L39" s="24">
        <v>33631.9</v>
      </c>
      <c r="M39" s="24">
        <v>33464.639999999999</v>
      </c>
      <c r="N39" s="25">
        <v>33421.709458956699</v>
      </c>
      <c r="O39" s="24">
        <v>20313.036418655538</v>
      </c>
      <c r="P39" s="24">
        <v>15775.05</v>
      </c>
      <c r="Q39" s="24">
        <v>15609.55</v>
      </c>
      <c r="R39" s="24">
        <v>13399.26</v>
      </c>
      <c r="S39" s="11">
        <f t="shared" ref="S39:U70" si="10">MAX(IF($R39=0,0,_xlfn.FORECAST.ETS(S$1,$J39:$R39,$J$1:$R$1)),0)</f>
        <v>11869.145685674002</v>
      </c>
      <c r="T39" s="11">
        <f t="shared" si="10"/>
        <v>10286.315298427326</v>
      </c>
      <c r="U39" s="11">
        <f t="shared" si="10"/>
        <v>8703.4849111806507</v>
      </c>
      <c r="V39" s="32">
        <f t="shared" si="3"/>
        <v>240872.92084284557</v>
      </c>
      <c r="W39" s="33">
        <f t="shared" si="7"/>
        <v>7120.6545239339739</v>
      </c>
      <c r="X39" s="33">
        <f t="shared" si="9"/>
        <v>5537.8241366872999</v>
      </c>
      <c r="Y39" s="33">
        <f t="shared" si="9"/>
        <v>3954.9937494406236</v>
      </c>
      <c r="Z39" s="33">
        <f t="shared" si="9"/>
        <v>2372.1633621939477</v>
      </c>
      <c r="AA39" s="33">
        <f t="shared" si="9"/>
        <v>789.33297494727174</v>
      </c>
      <c r="AB39" s="33">
        <f t="shared" si="9"/>
        <v>0</v>
      </c>
      <c r="AC39" s="33">
        <f t="shared" si="9"/>
        <v>0</v>
      </c>
      <c r="AD39" s="33">
        <f t="shared" si="9"/>
        <v>0</v>
      </c>
      <c r="AE39" s="33">
        <f t="shared" si="9"/>
        <v>0</v>
      </c>
      <c r="AF39" s="33">
        <f t="shared" si="9"/>
        <v>0</v>
      </c>
      <c r="AG39" s="33">
        <f t="shared" si="9"/>
        <v>0</v>
      </c>
      <c r="AH39" s="33">
        <f t="shared" si="9"/>
        <v>0</v>
      </c>
      <c r="AI39" s="38">
        <f t="shared" si="5"/>
        <v>19774.968747203115</v>
      </c>
    </row>
    <row r="40" spans="1:35">
      <c r="A40" s="27">
        <v>334</v>
      </c>
      <c r="B40" s="28" t="s">
        <v>103</v>
      </c>
      <c r="C40" s="28" t="s">
        <v>12</v>
      </c>
      <c r="D40" s="28" t="s">
        <v>38</v>
      </c>
      <c r="E40" s="29" t="s">
        <v>39</v>
      </c>
      <c r="F40" s="39" t="s">
        <v>40</v>
      </c>
      <c r="G40" s="39" t="s">
        <v>41</v>
      </c>
      <c r="H40" s="39" t="s">
        <v>104</v>
      </c>
      <c r="I40" s="28" t="s">
        <v>105</v>
      </c>
      <c r="J40" s="17">
        <v>1314.5261431141139</v>
      </c>
      <c r="K40" s="24">
        <v>1316.3883584053708</v>
      </c>
      <c r="L40" s="24">
        <v>1152.26</v>
      </c>
      <c r="M40" s="24">
        <v>1260.01</v>
      </c>
      <c r="N40" s="25">
        <v>1249.2755270687492</v>
      </c>
      <c r="O40" s="24">
        <v>1269.5714722180396</v>
      </c>
      <c r="P40" s="24">
        <v>0</v>
      </c>
      <c r="Q40" s="24">
        <v>0</v>
      </c>
      <c r="R40" s="24">
        <v>0</v>
      </c>
      <c r="S40" s="11">
        <f t="shared" si="10"/>
        <v>0</v>
      </c>
      <c r="T40" s="11">
        <f t="shared" si="10"/>
        <v>0</v>
      </c>
      <c r="U40" s="11">
        <f t="shared" si="10"/>
        <v>0</v>
      </c>
      <c r="V40" s="32">
        <f t="shared" si="3"/>
        <v>7562.0315008062735</v>
      </c>
      <c r="W40" s="33">
        <f t="shared" si="7"/>
        <v>0</v>
      </c>
      <c r="X40" s="33">
        <f t="shared" si="9"/>
        <v>0</v>
      </c>
      <c r="Y40" s="33">
        <f t="shared" si="9"/>
        <v>0</v>
      </c>
      <c r="Z40" s="33">
        <f t="shared" si="9"/>
        <v>0</v>
      </c>
      <c r="AA40" s="33">
        <f t="shared" si="9"/>
        <v>0</v>
      </c>
      <c r="AB40" s="33">
        <f t="shared" si="9"/>
        <v>0</v>
      </c>
      <c r="AC40" s="33">
        <f t="shared" si="9"/>
        <v>0</v>
      </c>
      <c r="AD40" s="33">
        <f t="shared" si="9"/>
        <v>0</v>
      </c>
      <c r="AE40" s="33">
        <f t="shared" si="9"/>
        <v>0</v>
      </c>
      <c r="AF40" s="33">
        <f t="shared" si="9"/>
        <v>0</v>
      </c>
      <c r="AG40" s="33">
        <f t="shared" si="9"/>
        <v>0</v>
      </c>
      <c r="AH40" s="33">
        <f t="shared" si="9"/>
        <v>0</v>
      </c>
      <c r="AI40" s="38">
        <f t="shared" si="5"/>
        <v>0</v>
      </c>
    </row>
    <row r="41" spans="1:35">
      <c r="A41" s="3">
        <v>623</v>
      </c>
      <c r="B41" s="1" t="s">
        <v>106</v>
      </c>
      <c r="C41" s="1" t="s">
        <v>22</v>
      </c>
      <c r="D41" s="1" t="s">
        <v>23</v>
      </c>
      <c r="E41" s="4" t="s">
        <v>14</v>
      </c>
      <c r="F41" s="4">
        <v>81593</v>
      </c>
      <c r="G41" s="4">
        <v>2009</v>
      </c>
      <c r="H41" s="4"/>
      <c r="I41" s="1" t="s">
        <v>107</v>
      </c>
      <c r="J41" s="17">
        <v>6336.8948622384069</v>
      </c>
      <c r="K41" s="24">
        <v>16886.180295861395</v>
      </c>
      <c r="L41" s="24">
        <v>30519.99</v>
      </c>
      <c r="M41" s="24">
        <v>9586.1200000000008</v>
      </c>
      <c r="N41" s="25">
        <v>6902.2230535482704</v>
      </c>
      <c r="O41" s="24">
        <v>7539.0582398966353</v>
      </c>
      <c r="P41" s="24">
        <v>7945.11</v>
      </c>
      <c r="Q41" s="24">
        <v>14993.13</v>
      </c>
      <c r="R41" s="24">
        <v>19186.46</v>
      </c>
      <c r="S41" s="11">
        <f t="shared" si="10"/>
        <v>19161.831465055977</v>
      </c>
      <c r="T41" s="11">
        <f t="shared" si="10"/>
        <v>19137.202930111958</v>
      </c>
      <c r="U41" s="11">
        <f t="shared" si="10"/>
        <v>19112.574395167936</v>
      </c>
      <c r="V41" s="32">
        <f t="shared" si="3"/>
        <v>177306.77524188062</v>
      </c>
      <c r="W41" s="33">
        <f t="shared" si="7"/>
        <v>19087.945860223914</v>
      </c>
      <c r="X41" s="33">
        <f t="shared" si="9"/>
        <v>19063.317325279895</v>
      </c>
      <c r="Y41" s="33">
        <f t="shared" si="9"/>
        <v>19038.688790335873</v>
      </c>
      <c r="Z41" s="33">
        <f t="shared" si="9"/>
        <v>19014.060255391854</v>
      </c>
      <c r="AA41" s="33">
        <f t="shared" si="9"/>
        <v>18989.431720447832</v>
      </c>
      <c r="AB41" s="33">
        <f t="shared" si="9"/>
        <v>18964.80318550381</v>
      </c>
      <c r="AC41" s="33">
        <f t="shared" si="9"/>
        <v>18940.174650559791</v>
      </c>
      <c r="AD41" s="33">
        <f t="shared" si="9"/>
        <v>18915.546115615769</v>
      </c>
      <c r="AE41" s="33">
        <f t="shared" si="9"/>
        <v>18890.917580671747</v>
      </c>
      <c r="AF41" s="33">
        <f t="shared" si="9"/>
        <v>18866.289045727728</v>
      </c>
      <c r="AG41" s="33">
        <f t="shared" si="9"/>
        <v>18841.660510783706</v>
      </c>
      <c r="AH41" s="33">
        <f t="shared" si="9"/>
        <v>18817.031975839687</v>
      </c>
      <c r="AI41" s="38">
        <f t="shared" si="5"/>
        <v>227429.86701638161</v>
      </c>
    </row>
    <row r="42" spans="1:35">
      <c r="A42" s="27">
        <v>409</v>
      </c>
      <c r="B42" s="28" t="s">
        <v>108</v>
      </c>
      <c r="C42" s="28" t="s">
        <v>12</v>
      </c>
      <c r="D42" s="28" t="s">
        <v>38</v>
      </c>
      <c r="E42" s="29" t="s">
        <v>39</v>
      </c>
      <c r="F42" s="39" t="s">
        <v>40</v>
      </c>
      <c r="G42" s="39" t="s">
        <v>41</v>
      </c>
      <c r="H42" s="39" t="s">
        <v>109</v>
      </c>
      <c r="I42" s="28" t="s">
        <v>110</v>
      </c>
      <c r="J42" s="17">
        <v>2424.583708156013</v>
      </c>
      <c r="K42" s="24">
        <v>2471.5422168934529</v>
      </c>
      <c r="L42" s="24">
        <v>1609.69</v>
      </c>
      <c r="M42" s="24">
        <v>1403.84</v>
      </c>
      <c r="N42" s="25">
        <v>1669.1223038261946</v>
      </c>
      <c r="O42" s="24">
        <v>2046.9027647647051</v>
      </c>
      <c r="P42" s="24">
        <v>2390.38</v>
      </c>
      <c r="Q42" s="24">
        <v>272.3</v>
      </c>
      <c r="R42" s="24">
        <v>0</v>
      </c>
      <c r="S42" s="11">
        <f t="shared" si="10"/>
        <v>0</v>
      </c>
      <c r="T42" s="11">
        <f t="shared" si="10"/>
        <v>0</v>
      </c>
      <c r="U42" s="11">
        <f t="shared" si="10"/>
        <v>0</v>
      </c>
      <c r="V42" s="32">
        <f t="shared" si="3"/>
        <v>14288.360993640366</v>
      </c>
      <c r="W42" s="33">
        <f t="shared" si="7"/>
        <v>0</v>
      </c>
      <c r="X42" s="33">
        <f t="shared" si="9"/>
        <v>0</v>
      </c>
      <c r="Y42" s="33">
        <f t="shared" si="9"/>
        <v>0</v>
      </c>
      <c r="Z42" s="33">
        <f t="shared" si="9"/>
        <v>0</v>
      </c>
      <c r="AA42" s="33">
        <f t="shared" si="9"/>
        <v>0</v>
      </c>
      <c r="AB42" s="33">
        <f t="shared" si="9"/>
        <v>0</v>
      </c>
      <c r="AC42" s="33">
        <f t="shared" si="9"/>
        <v>0</v>
      </c>
      <c r="AD42" s="33">
        <f t="shared" si="9"/>
        <v>0</v>
      </c>
      <c r="AE42" s="33">
        <f t="shared" si="9"/>
        <v>0</v>
      </c>
      <c r="AF42" s="33">
        <f t="shared" si="9"/>
        <v>0</v>
      </c>
      <c r="AG42" s="33">
        <f t="shared" si="9"/>
        <v>0</v>
      </c>
      <c r="AH42" s="33">
        <f t="shared" si="9"/>
        <v>0</v>
      </c>
      <c r="AI42" s="38">
        <f t="shared" si="5"/>
        <v>0</v>
      </c>
    </row>
    <row r="43" spans="1:35" s="43" customFormat="1">
      <c r="A43" s="3">
        <v>960</v>
      </c>
      <c r="B43" s="1" t="s">
        <v>111</v>
      </c>
      <c r="C43" s="1" t="s">
        <v>12</v>
      </c>
      <c r="D43" s="1" t="s">
        <v>19</v>
      </c>
      <c r="E43" s="45" t="s">
        <v>14</v>
      </c>
      <c r="F43" s="44">
        <v>81593</v>
      </c>
      <c r="G43" s="44">
        <v>1107</v>
      </c>
      <c r="H43" s="44"/>
      <c r="I43" s="44" t="s">
        <v>112</v>
      </c>
      <c r="J43" s="17">
        <v>2681.0968950993729</v>
      </c>
      <c r="K43" s="24">
        <v>2943.6525753671071</v>
      </c>
      <c r="L43" s="24">
        <v>3628.13</v>
      </c>
      <c r="M43" s="24">
        <v>4442.93</v>
      </c>
      <c r="N43" s="25">
        <v>6552.9850622469094</v>
      </c>
      <c r="O43" s="24">
        <v>6609.796204332888</v>
      </c>
      <c r="P43" s="24">
        <v>9838.61</v>
      </c>
      <c r="Q43" s="24">
        <v>16066.37</v>
      </c>
      <c r="R43" s="24">
        <v>17642.34</v>
      </c>
      <c r="S43" s="11">
        <f t="shared" si="10"/>
        <v>19526.321875886919</v>
      </c>
      <c r="T43" s="11">
        <f t="shared" si="10"/>
        <v>21422.781503717491</v>
      </c>
      <c r="U43" s="11">
        <f t="shared" si="10"/>
        <v>23319.241131548064</v>
      </c>
      <c r="V43" s="32">
        <f t="shared" si="3"/>
        <v>134674.25524819875</v>
      </c>
      <c r="W43" s="33">
        <f t="shared" si="7"/>
        <v>25215.700759378633</v>
      </c>
      <c r="X43" s="33">
        <f t="shared" si="9"/>
        <v>27112.160387209206</v>
      </c>
      <c r="Y43" s="33">
        <f t="shared" si="9"/>
        <v>29008.620015039778</v>
      </c>
      <c r="Z43" s="33">
        <f t="shared" si="9"/>
        <v>30905.079642870347</v>
      </c>
      <c r="AA43" s="33">
        <f t="shared" si="9"/>
        <v>32801.539270700923</v>
      </c>
      <c r="AB43" s="33">
        <f t="shared" si="9"/>
        <v>34697.998898531492</v>
      </c>
      <c r="AC43" s="33">
        <f t="shared" si="9"/>
        <v>36594.458526362068</v>
      </c>
      <c r="AD43" s="33">
        <f t="shared" si="9"/>
        <v>38490.918154192637</v>
      </c>
      <c r="AE43" s="33">
        <f t="shared" si="9"/>
        <v>40387.377782023206</v>
      </c>
      <c r="AF43" s="33">
        <f t="shared" si="9"/>
        <v>42283.837409853782</v>
      </c>
      <c r="AG43" s="33">
        <f t="shared" si="9"/>
        <v>44180.297037684351</v>
      </c>
      <c r="AH43" s="33">
        <f t="shared" si="9"/>
        <v>46076.756665514928</v>
      </c>
      <c r="AI43" s="38">
        <f t="shared" si="5"/>
        <v>427754.74454936129</v>
      </c>
    </row>
    <row r="44" spans="1:35">
      <c r="A44" s="3">
        <v>65</v>
      </c>
      <c r="B44" s="1" t="s">
        <v>113</v>
      </c>
      <c r="C44" s="1" t="s">
        <v>12</v>
      </c>
      <c r="D44" s="1" t="s">
        <v>38</v>
      </c>
      <c r="E44" s="4" t="s">
        <v>39</v>
      </c>
      <c r="F44" s="5" t="s">
        <v>40</v>
      </c>
      <c r="G44" s="5" t="s">
        <v>41</v>
      </c>
      <c r="H44" s="5"/>
      <c r="I44" s="1" t="s">
        <v>114</v>
      </c>
      <c r="J44" s="17">
        <v>386.49678300355373</v>
      </c>
      <c r="K44" s="24">
        <v>383.45063412274385</v>
      </c>
      <c r="L44" s="24">
        <v>371.75</v>
      </c>
      <c r="M44" s="24">
        <v>388.75</v>
      </c>
      <c r="N44" s="25">
        <v>385.91986756069946</v>
      </c>
      <c r="O44" s="24">
        <v>383.13202884379172</v>
      </c>
      <c r="P44" s="24">
        <v>402.52</v>
      </c>
      <c r="Q44" s="24">
        <v>406.84</v>
      </c>
      <c r="R44" s="24">
        <v>62.43</v>
      </c>
      <c r="S44" s="11">
        <f t="shared" si="10"/>
        <v>237.99693669999309</v>
      </c>
      <c r="T44" s="11">
        <f t="shared" si="10"/>
        <v>218.74795598665312</v>
      </c>
      <c r="U44" s="11">
        <f t="shared" si="10"/>
        <v>199.49897527331328</v>
      </c>
      <c r="V44" s="32">
        <f t="shared" si="3"/>
        <v>3827.5331814907481</v>
      </c>
      <c r="W44" s="33">
        <f t="shared" si="7"/>
        <v>180.24999455997332</v>
      </c>
      <c r="X44" s="33">
        <f t="shared" si="9"/>
        <v>161.00101384663347</v>
      </c>
      <c r="Y44" s="33">
        <f t="shared" si="9"/>
        <v>141.75203313329348</v>
      </c>
      <c r="Z44" s="33">
        <f t="shared" si="9"/>
        <v>122.50305241995363</v>
      </c>
      <c r="AA44" s="33">
        <f t="shared" si="9"/>
        <v>103.25407170661367</v>
      </c>
      <c r="AB44" s="33">
        <f t="shared" si="9"/>
        <v>84.005090993273825</v>
      </c>
      <c r="AC44" s="33">
        <f t="shared" si="9"/>
        <v>64.756110279933864</v>
      </c>
      <c r="AD44" s="33">
        <f t="shared" si="9"/>
        <v>45.507129566594024</v>
      </c>
      <c r="AE44" s="33">
        <f t="shared" si="9"/>
        <v>26.258148853254024</v>
      </c>
      <c r="AF44" s="33">
        <f t="shared" si="9"/>
        <v>7.0091681399141841</v>
      </c>
      <c r="AG44" s="33">
        <f t="shared" si="9"/>
        <v>0</v>
      </c>
      <c r="AH44" s="33">
        <f t="shared" si="9"/>
        <v>0</v>
      </c>
      <c r="AI44" s="38">
        <f t="shared" si="5"/>
        <v>936.29581349943749</v>
      </c>
    </row>
    <row r="45" spans="1:35">
      <c r="A45" s="3">
        <v>580</v>
      </c>
      <c r="B45" s="1" t="s">
        <v>115</v>
      </c>
      <c r="C45" s="1" t="s">
        <v>27</v>
      </c>
      <c r="D45" s="1" t="s">
        <v>34</v>
      </c>
      <c r="E45" s="4" t="s">
        <v>14</v>
      </c>
      <c r="F45" s="4">
        <v>81593</v>
      </c>
      <c r="G45" s="4">
        <v>2006</v>
      </c>
      <c r="H45" s="4"/>
      <c r="I45" s="1" t="s">
        <v>116</v>
      </c>
      <c r="J45" s="17">
        <v>12523.369931119203</v>
      </c>
      <c r="K45" s="24">
        <v>12807.287541950887</v>
      </c>
      <c r="L45" s="24">
        <v>14019.11</v>
      </c>
      <c r="M45" s="24">
        <v>14255.76</v>
      </c>
      <c r="N45" s="25">
        <v>14754.124067899169</v>
      </c>
      <c r="O45" s="24">
        <v>15152.705142996492</v>
      </c>
      <c r="P45" s="24">
        <v>15604.9</v>
      </c>
      <c r="Q45" s="24">
        <v>17284.740000000002</v>
      </c>
      <c r="R45" s="24">
        <v>17488.25</v>
      </c>
      <c r="S45" s="11">
        <f t="shared" si="10"/>
        <v>18118.880024905266</v>
      </c>
      <c r="T45" s="11">
        <f t="shared" si="10"/>
        <v>18740.340154541365</v>
      </c>
      <c r="U45" s="11">
        <f t="shared" si="10"/>
        <v>19361.800284177469</v>
      </c>
      <c r="V45" s="32">
        <f t="shared" si="3"/>
        <v>190111.26714758985</v>
      </c>
      <c r="W45" s="33">
        <f t="shared" si="7"/>
        <v>19983.260413813568</v>
      </c>
      <c r="X45" s="33">
        <f t="shared" si="9"/>
        <v>20604.720543449668</v>
      </c>
      <c r="Y45" s="33">
        <f t="shared" si="9"/>
        <v>21226.180673085768</v>
      </c>
      <c r="Z45" s="33">
        <f t="shared" si="9"/>
        <v>21847.640802721871</v>
      </c>
      <c r="AA45" s="33">
        <f t="shared" si="9"/>
        <v>22469.100932357971</v>
      </c>
      <c r="AB45" s="33">
        <f t="shared" si="9"/>
        <v>23090.561061994071</v>
      </c>
      <c r="AC45" s="33">
        <f t="shared" si="9"/>
        <v>23712.021191630171</v>
      </c>
      <c r="AD45" s="33">
        <f t="shared" si="9"/>
        <v>24333.48132126627</v>
      </c>
      <c r="AE45" s="33">
        <f t="shared" si="9"/>
        <v>24954.94145090237</v>
      </c>
      <c r="AF45" s="33">
        <f t="shared" si="9"/>
        <v>25576.401580538473</v>
      </c>
      <c r="AG45" s="33">
        <f t="shared" si="9"/>
        <v>26197.861710174573</v>
      </c>
      <c r="AH45" s="33">
        <f t="shared" si="9"/>
        <v>26819.321839810676</v>
      </c>
      <c r="AI45" s="38">
        <f t="shared" si="5"/>
        <v>280815.49352174549</v>
      </c>
    </row>
    <row r="46" spans="1:35">
      <c r="A46" s="3">
        <v>238</v>
      </c>
      <c r="B46" s="1" t="s">
        <v>117</v>
      </c>
      <c r="C46" s="1" t="s">
        <v>12</v>
      </c>
      <c r="D46" s="1" t="s">
        <v>38</v>
      </c>
      <c r="E46" s="4" t="s">
        <v>39</v>
      </c>
      <c r="F46" s="5" t="s">
        <v>40</v>
      </c>
      <c r="G46" s="5" t="s">
        <v>41</v>
      </c>
      <c r="H46" s="5"/>
      <c r="I46" s="1" t="s">
        <v>118</v>
      </c>
      <c r="J46" s="17">
        <v>13.325637257052604</v>
      </c>
      <c r="K46" s="24">
        <v>11.304382224235518</v>
      </c>
      <c r="L46" s="24">
        <v>11.6</v>
      </c>
      <c r="M46" s="24">
        <v>12.36</v>
      </c>
      <c r="N46" s="25">
        <v>11.448418682330516</v>
      </c>
      <c r="O46" s="24">
        <v>11.68862849105385</v>
      </c>
      <c r="P46" s="24">
        <v>11.23</v>
      </c>
      <c r="Q46" s="24">
        <v>12.39</v>
      </c>
      <c r="R46" s="24">
        <v>27.88</v>
      </c>
      <c r="S46" s="11">
        <f t="shared" si="10"/>
        <v>27.436854176621651</v>
      </c>
      <c r="T46" s="11">
        <f t="shared" si="10"/>
        <v>28.443612650485722</v>
      </c>
      <c r="U46" s="11">
        <f t="shared" si="10"/>
        <v>29.450371124349793</v>
      </c>
      <c r="V46" s="32">
        <f t="shared" si="3"/>
        <v>208.55790460612968</v>
      </c>
      <c r="W46" s="33">
        <f t="shared" si="7"/>
        <v>30.457129598213861</v>
      </c>
      <c r="X46" s="33">
        <f t="shared" si="9"/>
        <v>31.463888072077928</v>
      </c>
      <c r="Y46" s="33">
        <f t="shared" si="9"/>
        <v>32.470646545942003</v>
      </c>
      <c r="Z46" s="33">
        <f t="shared" si="9"/>
        <v>33.477405019806071</v>
      </c>
      <c r="AA46" s="33">
        <f t="shared" si="9"/>
        <v>34.484163493670138</v>
      </c>
      <c r="AB46" s="33">
        <f t="shared" si="9"/>
        <v>35.490921967534206</v>
      </c>
      <c r="AC46" s="33">
        <f t="shared" si="9"/>
        <v>36.497680441398273</v>
      </c>
      <c r="AD46" s="33">
        <f t="shared" si="9"/>
        <v>37.504438915262348</v>
      </c>
      <c r="AE46" s="33">
        <f t="shared" si="9"/>
        <v>38.511197389126416</v>
      </c>
      <c r="AF46" s="33">
        <f t="shared" si="9"/>
        <v>39.517955862990483</v>
      </c>
      <c r="AG46" s="33">
        <f t="shared" si="9"/>
        <v>40.524714336854558</v>
      </c>
      <c r="AH46" s="33">
        <f t="shared" si="9"/>
        <v>41.531472810718626</v>
      </c>
      <c r="AI46" s="38">
        <f t="shared" si="5"/>
        <v>431.93161445359499</v>
      </c>
    </row>
    <row r="47" spans="1:35">
      <c r="A47" s="3">
        <v>918</v>
      </c>
      <c r="B47" s="1" t="s">
        <v>119</v>
      </c>
      <c r="C47" s="1" t="s">
        <v>27</v>
      </c>
      <c r="D47" s="1" t="s">
        <v>77</v>
      </c>
      <c r="E47" s="4" t="s">
        <v>14</v>
      </c>
      <c r="F47" s="4">
        <v>81593</v>
      </c>
      <c r="G47" s="4">
        <v>2008</v>
      </c>
      <c r="H47" s="4"/>
      <c r="I47" s="1" t="s">
        <v>120</v>
      </c>
      <c r="J47" s="17">
        <v>356.01838546922301</v>
      </c>
      <c r="K47" s="24">
        <v>360.70283753717246</v>
      </c>
      <c r="L47" s="24">
        <v>344.3</v>
      </c>
      <c r="M47" s="24">
        <v>377.52</v>
      </c>
      <c r="N47" s="25">
        <v>371.60424241692959</v>
      </c>
      <c r="O47" s="24">
        <v>375.45031791062428</v>
      </c>
      <c r="P47" s="24">
        <v>384.55</v>
      </c>
      <c r="Q47" s="24">
        <v>417.49</v>
      </c>
      <c r="R47" s="24">
        <v>419.55</v>
      </c>
      <c r="S47" s="11">
        <f t="shared" si="10"/>
        <v>422.49694379429184</v>
      </c>
      <c r="T47" s="11">
        <f t="shared" si="10"/>
        <v>430.84422852634913</v>
      </c>
      <c r="U47" s="11">
        <f t="shared" si="10"/>
        <v>439.19151325840636</v>
      </c>
      <c r="V47" s="32">
        <f t="shared" si="3"/>
        <v>4699.7184689129972</v>
      </c>
      <c r="W47" s="33">
        <f t="shared" si="7"/>
        <v>447.53879799046365</v>
      </c>
      <c r="X47" s="33">
        <f t="shared" si="9"/>
        <v>455.88608272252094</v>
      </c>
      <c r="Y47" s="33">
        <f t="shared" si="9"/>
        <v>464.23336745457823</v>
      </c>
      <c r="Z47" s="33">
        <f t="shared" si="9"/>
        <v>472.58065218663546</v>
      </c>
      <c r="AA47" s="33">
        <f t="shared" si="9"/>
        <v>480.92793691869275</v>
      </c>
      <c r="AB47" s="33">
        <f t="shared" si="9"/>
        <v>489.27522165075004</v>
      </c>
      <c r="AC47" s="33">
        <f t="shared" si="9"/>
        <v>497.62250638280733</v>
      </c>
      <c r="AD47" s="33">
        <f t="shared" si="9"/>
        <v>505.96979111486462</v>
      </c>
      <c r="AE47" s="33">
        <f t="shared" si="9"/>
        <v>514.31707584692185</v>
      </c>
      <c r="AF47" s="33">
        <f t="shared" si="9"/>
        <v>522.6643605789792</v>
      </c>
      <c r="AG47" s="33">
        <f t="shared" si="9"/>
        <v>531.01164531103643</v>
      </c>
      <c r="AH47" s="33">
        <f t="shared" si="9"/>
        <v>539.35893004309366</v>
      </c>
      <c r="AI47" s="38">
        <f t="shared" si="5"/>
        <v>5921.3863682013452</v>
      </c>
    </row>
    <row r="48" spans="1:35">
      <c r="A48" s="3">
        <v>791</v>
      </c>
      <c r="B48" s="1" t="s">
        <v>121</v>
      </c>
      <c r="C48" s="1" t="s">
        <v>12</v>
      </c>
      <c r="D48" s="1" t="s">
        <v>38</v>
      </c>
      <c r="E48" s="4" t="s">
        <v>122</v>
      </c>
      <c r="F48" s="5" t="s">
        <v>40</v>
      </c>
      <c r="G48" s="4">
        <v>3000</v>
      </c>
      <c r="H48" s="4"/>
      <c r="I48" s="1" t="s">
        <v>123</v>
      </c>
      <c r="J48" s="17">
        <v>12234.832572719695</v>
      </c>
      <c r="K48" s="24">
        <v>13267.216546258594</v>
      </c>
      <c r="L48" s="24">
        <v>12023.8</v>
      </c>
      <c r="M48" s="24">
        <v>10465.65</v>
      </c>
      <c r="N48" s="25">
        <v>10658.947158008523</v>
      </c>
      <c r="O48" s="24">
        <v>10848.707860611001</v>
      </c>
      <c r="P48" s="24">
        <v>12697.64</v>
      </c>
      <c r="Q48" s="24">
        <v>17243.45</v>
      </c>
      <c r="R48" s="24">
        <v>21312.42</v>
      </c>
      <c r="S48" s="11">
        <f t="shared" si="10"/>
        <v>22145.249798849272</v>
      </c>
      <c r="T48" s="11">
        <f t="shared" si="10"/>
        <v>22978.07959769855</v>
      </c>
      <c r="U48" s="11">
        <f t="shared" si="10"/>
        <v>23810.909396547824</v>
      </c>
      <c r="V48" s="32">
        <f t="shared" si="3"/>
        <v>189686.90293069347</v>
      </c>
      <c r="W48" s="33">
        <f t="shared" si="7"/>
        <v>24643.739195397102</v>
      </c>
      <c r="X48" s="33">
        <f t="shared" si="9"/>
        <v>25476.568994246376</v>
      </c>
      <c r="Y48" s="33">
        <f t="shared" si="9"/>
        <v>26309.39879309565</v>
      </c>
      <c r="Z48" s="33">
        <f t="shared" si="9"/>
        <v>27142.228591944928</v>
      </c>
      <c r="AA48" s="33">
        <f t="shared" si="9"/>
        <v>27975.058390794202</v>
      </c>
      <c r="AB48" s="33">
        <f t="shared" si="9"/>
        <v>28807.888189643476</v>
      </c>
      <c r="AC48" s="33">
        <f t="shared" si="9"/>
        <v>29640.717988492754</v>
      </c>
      <c r="AD48" s="33">
        <f t="shared" si="9"/>
        <v>30473.547787342028</v>
      </c>
      <c r="AE48" s="33">
        <f t="shared" si="9"/>
        <v>31306.377586191302</v>
      </c>
      <c r="AF48" s="33">
        <f t="shared" si="9"/>
        <v>32139.20738504058</v>
      </c>
      <c r="AG48" s="33">
        <f t="shared" si="9"/>
        <v>32972.037183889857</v>
      </c>
      <c r="AH48" s="33">
        <f t="shared" si="9"/>
        <v>33804.866982739128</v>
      </c>
      <c r="AI48" s="38">
        <f t="shared" si="5"/>
        <v>350691.63706881733</v>
      </c>
    </row>
    <row r="49" spans="1:35" s="15" customFormat="1">
      <c r="A49" s="27">
        <v>1001</v>
      </c>
      <c r="B49" s="28" t="s">
        <v>124</v>
      </c>
      <c r="C49" s="28" t="s">
        <v>27</v>
      </c>
      <c r="D49" s="28" t="s">
        <v>28</v>
      </c>
      <c r="E49" s="29" t="s">
        <v>14</v>
      </c>
      <c r="F49" s="30">
        <v>81590</v>
      </c>
      <c r="G49" s="30">
        <v>2005</v>
      </c>
      <c r="H49" s="49" t="s">
        <v>125</v>
      </c>
      <c r="I49" s="30" t="s">
        <v>126</v>
      </c>
      <c r="J49" s="17">
        <v>147.07239327863817</v>
      </c>
      <c r="K49" s="24">
        <v>148.21895292874177</v>
      </c>
      <c r="L49" s="24">
        <v>139.08000000000001</v>
      </c>
      <c r="M49" s="24">
        <v>55.14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11">
        <f t="shared" si="10"/>
        <v>0</v>
      </c>
      <c r="T49" s="11">
        <f t="shared" si="10"/>
        <v>0</v>
      </c>
      <c r="U49" s="11">
        <f t="shared" si="10"/>
        <v>0</v>
      </c>
      <c r="V49" s="32">
        <f t="shared" si="3"/>
        <v>489.51134620737992</v>
      </c>
      <c r="W49" s="33">
        <f t="shared" si="7"/>
        <v>0</v>
      </c>
      <c r="X49" s="33">
        <f t="shared" si="9"/>
        <v>0</v>
      </c>
      <c r="Y49" s="33">
        <f t="shared" si="9"/>
        <v>0</v>
      </c>
      <c r="Z49" s="33">
        <f t="shared" si="9"/>
        <v>0</v>
      </c>
      <c r="AA49" s="33">
        <f t="shared" si="9"/>
        <v>0</v>
      </c>
      <c r="AB49" s="33">
        <f t="shared" si="9"/>
        <v>0</v>
      </c>
      <c r="AC49" s="33">
        <f t="shared" si="9"/>
        <v>0</v>
      </c>
      <c r="AD49" s="33">
        <f t="shared" si="9"/>
        <v>0</v>
      </c>
      <c r="AE49" s="33">
        <f t="shared" si="9"/>
        <v>0</v>
      </c>
      <c r="AF49" s="33">
        <f t="shared" si="9"/>
        <v>0</v>
      </c>
      <c r="AG49" s="33">
        <f t="shared" si="9"/>
        <v>0</v>
      </c>
      <c r="AH49" s="33">
        <f t="shared" si="9"/>
        <v>0</v>
      </c>
      <c r="AI49" s="38">
        <f t="shared" si="5"/>
        <v>0</v>
      </c>
    </row>
    <row r="50" spans="1:35">
      <c r="A50" s="3">
        <v>778</v>
      </c>
      <c r="B50" s="1" t="s">
        <v>127</v>
      </c>
      <c r="C50" s="1" t="s">
        <v>27</v>
      </c>
      <c r="D50" s="1" t="s">
        <v>77</v>
      </c>
      <c r="E50" s="4" t="s">
        <v>14</v>
      </c>
      <c r="F50" s="4">
        <v>81593</v>
      </c>
      <c r="G50" s="4">
        <v>2008</v>
      </c>
      <c r="H50" s="4"/>
      <c r="I50" s="1" t="s">
        <v>128</v>
      </c>
      <c r="J50" s="17">
        <v>7670.8870962576229</v>
      </c>
      <c r="K50" s="24">
        <v>7724.6255372950145</v>
      </c>
      <c r="L50" s="24">
        <v>6903.16</v>
      </c>
      <c r="M50" s="24">
        <v>7255.99</v>
      </c>
      <c r="N50" s="25">
        <v>4754.3384921519946</v>
      </c>
      <c r="O50" s="24">
        <v>3641.0881275880979</v>
      </c>
      <c r="P50" s="24">
        <v>4841</v>
      </c>
      <c r="Q50" s="24">
        <v>5872.07</v>
      </c>
      <c r="R50" s="24">
        <v>5772.3</v>
      </c>
      <c r="S50" s="11">
        <f t="shared" si="10"/>
        <v>4522.8098147311939</v>
      </c>
      <c r="T50" s="11">
        <f t="shared" si="10"/>
        <v>4172.5826972537052</v>
      </c>
      <c r="U50" s="11">
        <f t="shared" si="10"/>
        <v>3822.3555797762156</v>
      </c>
      <c r="V50" s="32">
        <f t="shared" si="3"/>
        <v>66953.207345053845</v>
      </c>
      <c r="W50" s="33">
        <f t="shared" si="7"/>
        <v>3472.1284622987259</v>
      </c>
      <c r="X50" s="33">
        <f t="shared" si="9"/>
        <v>3121.9013448212368</v>
      </c>
      <c r="Y50" s="33">
        <f t="shared" si="9"/>
        <v>2771.6742273437476</v>
      </c>
      <c r="Z50" s="33">
        <f t="shared" si="9"/>
        <v>2421.447109866258</v>
      </c>
      <c r="AA50" s="33">
        <f t="shared" si="9"/>
        <v>2071.2199923887688</v>
      </c>
      <c r="AB50" s="33">
        <f t="shared" si="9"/>
        <v>1720.9928749112796</v>
      </c>
      <c r="AC50" s="33">
        <f t="shared" si="9"/>
        <v>1370.76575743379</v>
      </c>
      <c r="AD50" s="33">
        <f t="shared" si="9"/>
        <v>1020.5386399563009</v>
      </c>
      <c r="AE50" s="33">
        <f t="shared" si="9"/>
        <v>670.31152247881153</v>
      </c>
      <c r="AF50" s="33">
        <f t="shared" si="9"/>
        <v>320.08440500132212</v>
      </c>
      <c r="AG50" s="33">
        <f t="shared" si="9"/>
        <v>0</v>
      </c>
      <c r="AH50" s="33">
        <f t="shared" si="9"/>
        <v>0</v>
      </c>
      <c r="AI50" s="38">
        <f t="shared" si="5"/>
        <v>18961.06433650024</v>
      </c>
    </row>
    <row r="51" spans="1:35">
      <c r="A51" s="3">
        <v>229</v>
      </c>
      <c r="B51" s="1" t="s">
        <v>129</v>
      </c>
      <c r="C51" s="1" t="s">
        <v>12</v>
      </c>
      <c r="D51" s="1" t="s">
        <v>38</v>
      </c>
      <c r="E51" s="4" t="s">
        <v>39</v>
      </c>
      <c r="F51" s="5" t="s">
        <v>40</v>
      </c>
      <c r="G51" s="5" t="s">
        <v>41</v>
      </c>
      <c r="H51" s="5"/>
      <c r="I51" s="1" t="s">
        <v>130</v>
      </c>
      <c r="J51" s="17">
        <v>17.110118238055545</v>
      </c>
      <c r="K51" s="24">
        <v>13.721402453826082</v>
      </c>
      <c r="L51" s="24">
        <v>13.36</v>
      </c>
      <c r="M51" s="24">
        <v>14.23</v>
      </c>
      <c r="N51" s="25">
        <v>13.825853221531059</v>
      </c>
      <c r="O51" s="24">
        <v>14.099207235771647</v>
      </c>
      <c r="P51" s="24">
        <v>13.58</v>
      </c>
      <c r="Q51" s="24">
        <v>14.94</v>
      </c>
      <c r="R51" s="24">
        <v>14.91</v>
      </c>
      <c r="S51" s="11">
        <f t="shared" si="10"/>
        <v>14.808395397830713</v>
      </c>
      <c r="T51" s="11">
        <f t="shared" si="10"/>
        <v>14.726078608067676</v>
      </c>
      <c r="U51" s="11">
        <f t="shared" si="10"/>
        <v>14.643761818304636</v>
      </c>
      <c r="V51" s="32">
        <f t="shared" si="3"/>
        <v>173.95481697338732</v>
      </c>
      <c r="W51" s="33">
        <f t="shared" si="7"/>
        <v>14.561445028541597</v>
      </c>
      <c r="X51" s="33">
        <f t="shared" si="9"/>
        <v>14.479128238778559</v>
      </c>
      <c r="Y51" s="33">
        <f t="shared" si="9"/>
        <v>14.396811449015519</v>
      </c>
      <c r="Z51" s="33">
        <f t="shared" si="9"/>
        <v>14.314494659252482</v>
      </c>
      <c r="AA51" s="33">
        <f t="shared" si="9"/>
        <v>14.232177869489442</v>
      </c>
      <c r="AB51" s="33">
        <f t="shared" si="9"/>
        <v>14.149861079726403</v>
      </c>
      <c r="AC51" s="33">
        <f t="shared" si="9"/>
        <v>14.067544289963365</v>
      </c>
      <c r="AD51" s="33">
        <f t="shared" si="9"/>
        <v>13.985227500200326</v>
      </c>
      <c r="AE51" s="33">
        <f t="shared" si="9"/>
        <v>13.902910710437286</v>
      </c>
      <c r="AF51" s="33">
        <f t="shared" si="9"/>
        <v>13.820593920674249</v>
      </c>
      <c r="AG51" s="33">
        <f t="shared" si="9"/>
        <v>13.738277130911209</v>
      </c>
      <c r="AH51" s="33">
        <f t="shared" si="9"/>
        <v>13.65596034114817</v>
      </c>
      <c r="AI51" s="38">
        <f t="shared" si="5"/>
        <v>169.30443221813857</v>
      </c>
    </row>
    <row r="52" spans="1:35">
      <c r="A52" s="3">
        <v>68</v>
      </c>
      <c r="B52" s="1" t="s">
        <v>131</v>
      </c>
      <c r="C52" s="1" t="s">
        <v>12</v>
      </c>
      <c r="D52" s="1" t="s">
        <v>38</v>
      </c>
      <c r="E52" s="4" t="s">
        <v>39</v>
      </c>
      <c r="F52" s="5" t="s">
        <v>40</v>
      </c>
      <c r="G52" s="5" t="s">
        <v>41</v>
      </c>
      <c r="H52" s="5"/>
      <c r="I52" s="1" t="s">
        <v>132</v>
      </c>
      <c r="J52" s="17">
        <v>1947.9416542359497</v>
      </c>
      <c r="K52" s="24">
        <v>1937.0171236415217</v>
      </c>
      <c r="L52" s="24">
        <v>2306.62</v>
      </c>
      <c r="M52" s="24">
        <v>2049.27</v>
      </c>
      <c r="N52" s="25">
        <v>2295.0304132838755</v>
      </c>
      <c r="O52" s="24">
        <v>2464.618563332715</v>
      </c>
      <c r="P52" s="24">
        <v>1725.54</v>
      </c>
      <c r="Q52" s="24">
        <v>1753.5</v>
      </c>
      <c r="R52" s="24">
        <v>1929.38</v>
      </c>
      <c r="S52" s="11">
        <f t="shared" si="10"/>
        <v>1897.014029124852</v>
      </c>
      <c r="T52" s="11">
        <f t="shared" si="10"/>
        <v>1874.7533395906171</v>
      </c>
      <c r="U52" s="11">
        <f t="shared" si="10"/>
        <v>1852.492650056382</v>
      </c>
      <c r="V52" s="32">
        <f t="shared" si="3"/>
        <v>24033.177773265914</v>
      </c>
      <c r="W52" s="33">
        <f t="shared" si="7"/>
        <v>1830.2319605221469</v>
      </c>
      <c r="X52" s="33">
        <f t="shared" si="9"/>
        <v>1807.971270987912</v>
      </c>
      <c r="Y52" s="33">
        <f t="shared" si="9"/>
        <v>1785.7105814536769</v>
      </c>
      <c r="Z52" s="33">
        <f t="shared" si="9"/>
        <v>1763.4498919194418</v>
      </c>
      <c r="AA52" s="33">
        <f t="shared" si="9"/>
        <v>1741.189202385207</v>
      </c>
      <c r="AB52" s="33">
        <f t="shared" si="9"/>
        <v>1718.9285128509719</v>
      </c>
      <c r="AC52" s="33">
        <f t="shared" si="9"/>
        <v>1696.6678233167368</v>
      </c>
      <c r="AD52" s="33">
        <f t="shared" si="9"/>
        <v>1674.4071337825019</v>
      </c>
      <c r="AE52" s="33">
        <f t="shared" si="9"/>
        <v>1652.1464442482668</v>
      </c>
      <c r="AF52" s="33">
        <f t="shared" si="9"/>
        <v>1629.8857547140317</v>
      </c>
      <c r="AG52" s="33">
        <f t="shared" si="9"/>
        <v>1607.6250651797968</v>
      </c>
      <c r="AH52" s="33">
        <f t="shared" si="9"/>
        <v>1585.3643756455617</v>
      </c>
      <c r="AI52" s="38">
        <f t="shared" si="5"/>
        <v>20493.578017006254</v>
      </c>
    </row>
    <row r="53" spans="1:35">
      <c r="A53" s="3">
        <v>99</v>
      </c>
      <c r="B53" s="1" t="s">
        <v>133</v>
      </c>
      <c r="C53" s="1" t="s">
        <v>12</v>
      </c>
      <c r="D53" s="1" t="s">
        <v>38</v>
      </c>
      <c r="E53" s="4" t="s">
        <v>39</v>
      </c>
      <c r="F53" s="5" t="s">
        <v>40</v>
      </c>
      <c r="G53" s="5" t="s">
        <v>41</v>
      </c>
      <c r="H53" s="5"/>
      <c r="I53" s="1" t="s">
        <v>134</v>
      </c>
      <c r="J53" s="17">
        <v>179.02194116614751</v>
      </c>
      <c r="K53" s="24">
        <v>181.5011075946083</v>
      </c>
      <c r="L53" s="24">
        <v>171.02</v>
      </c>
      <c r="M53" s="24">
        <v>185.98</v>
      </c>
      <c r="N53" s="25">
        <v>183.41958487840759</v>
      </c>
      <c r="O53" s="24">
        <v>186.31095275841105</v>
      </c>
      <c r="P53" s="24">
        <v>186.15</v>
      </c>
      <c r="Q53" s="24">
        <v>200.77</v>
      </c>
      <c r="R53" s="24">
        <v>201.62</v>
      </c>
      <c r="S53" s="11">
        <f t="shared" si="10"/>
        <v>201.96902833766964</v>
      </c>
      <c r="T53" s="11">
        <f t="shared" si="10"/>
        <v>204.93387119966221</v>
      </c>
      <c r="U53" s="11">
        <f t="shared" si="10"/>
        <v>207.8987140616548</v>
      </c>
      <c r="V53" s="32">
        <f t="shared" si="3"/>
        <v>2290.595199996561</v>
      </c>
      <c r="W53" s="33">
        <f t="shared" si="7"/>
        <v>210.86355692364739</v>
      </c>
      <c r="X53" s="33">
        <f t="shared" si="9"/>
        <v>213.82839978563996</v>
      </c>
      <c r="Y53" s="33">
        <f t="shared" si="9"/>
        <v>216.79324264763255</v>
      </c>
      <c r="Z53" s="33">
        <f t="shared" si="9"/>
        <v>219.75808550962515</v>
      </c>
      <c r="AA53" s="33">
        <f t="shared" si="9"/>
        <v>222.72292837161774</v>
      </c>
      <c r="AB53" s="33">
        <f t="shared" si="9"/>
        <v>225.68777123361031</v>
      </c>
      <c r="AC53" s="33">
        <f t="shared" si="9"/>
        <v>228.6526140956029</v>
      </c>
      <c r="AD53" s="33">
        <f t="shared" si="9"/>
        <v>231.61745695759549</v>
      </c>
      <c r="AE53" s="33">
        <f t="shared" si="9"/>
        <v>234.58229981958806</v>
      </c>
      <c r="AF53" s="33">
        <f t="shared" si="9"/>
        <v>237.54714268158065</v>
      </c>
      <c r="AG53" s="33">
        <f t="shared" si="9"/>
        <v>240.51198554357325</v>
      </c>
      <c r="AH53" s="33">
        <f t="shared" si="9"/>
        <v>243.47682840556581</v>
      </c>
      <c r="AI53" s="38">
        <f t="shared" si="5"/>
        <v>2726.0423119752795</v>
      </c>
    </row>
    <row r="54" spans="1:35">
      <c r="A54" s="3">
        <v>596</v>
      </c>
      <c r="B54" s="1" t="s">
        <v>135</v>
      </c>
      <c r="C54" s="1" t="s">
        <v>136</v>
      </c>
      <c r="D54" s="1" t="s">
        <v>34</v>
      </c>
      <c r="E54" s="4" t="s">
        <v>14</v>
      </c>
      <c r="F54" s="4">
        <v>81593</v>
      </c>
      <c r="G54" s="4">
        <v>2006</v>
      </c>
      <c r="H54" s="4"/>
      <c r="I54" s="1" t="s">
        <v>137</v>
      </c>
      <c r="J54" s="17">
        <v>907.75307046022897</v>
      </c>
      <c r="K54" s="24">
        <v>911.71928120515952</v>
      </c>
      <c r="L54" s="24">
        <v>900.31</v>
      </c>
      <c r="M54" s="24">
        <v>993.03</v>
      </c>
      <c r="N54" s="25">
        <v>956.58578562253638</v>
      </c>
      <c r="O54" s="24">
        <v>960.43885399542933</v>
      </c>
      <c r="P54" s="24">
        <v>967.02</v>
      </c>
      <c r="Q54" s="24">
        <v>1027.3699999999999</v>
      </c>
      <c r="R54" s="24">
        <v>1041.26</v>
      </c>
      <c r="S54" s="11">
        <f t="shared" si="10"/>
        <v>1054.3793895892243</v>
      </c>
      <c r="T54" s="11">
        <f t="shared" si="10"/>
        <v>1070.6513269047737</v>
      </c>
      <c r="U54" s="11">
        <f t="shared" si="10"/>
        <v>1086.9232642203233</v>
      </c>
      <c r="V54" s="32">
        <f t="shared" si="3"/>
        <v>11877.440971997676</v>
      </c>
      <c r="W54" s="33">
        <f t="shared" si="7"/>
        <v>1103.1952015358727</v>
      </c>
      <c r="X54" s="33">
        <f t="shared" si="9"/>
        <v>1119.4671388514221</v>
      </c>
      <c r="Y54" s="33">
        <f t="shared" si="9"/>
        <v>1135.7390761669715</v>
      </c>
      <c r="Z54" s="33">
        <f t="shared" si="9"/>
        <v>1152.0110134825209</v>
      </c>
      <c r="AA54" s="33">
        <f t="shared" si="9"/>
        <v>1168.2829507980705</v>
      </c>
      <c r="AB54" s="33">
        <f t="shared" si="9"/>
        <v>1184.5548881136199</v>
      </c>
      <c r="AC54" s="33">
        <f t="shared" si="9"/>
        <v>1200.8268254291693</v>
      </c>
      <c r="AD54" s="33">
        <f t="shared" si="9"/>
        <v>1217.0987627447187</v>
      </c>
      <c r="AE54" s="33">
        <f t="shared" si="9"/>
        <v>1233.3707000602683</v>
      </c>
      <c r="AF54" s="33">
        <f t="shared" si="9"/>
        <v>1249.6426373758177</v>
      </c>
      <c r="AG54" s="33">
        <f t="shared" si="9"/>
        <v>1265.9145746913671</v>
      </c>
      <c r="AH54" s="33">
        <f t="shared" si="9"/>
        <v>1282.1865120069165</v>
      </c>
      <c r="AI54" s="38">
        <f t="shared" si="5"/>
        <v>14312.290281256734</v>
      </c>
    </row>
    <row r="55" spans="1:35">
      <c r="A55" s="3">
        <v>686</v>
      </c>
      <c r="B55" s="1" t="s">
        <v>138</v>
      </c>
      <c r="C55" s="1" t="s">
        <v>27</v>
      </c>
      <c r="D55" s="1" t="s">
        <v>77</v>
      </c>
      <c r="E55" s="4" t="s">
        <v>14</v>
      </c>
      <c r="F55" s="4">
        <v>81593</v>
      </c>
      <c r="G55" s="4">
        <v>2008</v>
      </c>
      <c r="H55" s="4"/>
      <c r="I55" s="1" t="s">
        <v>139</v>
      </c>
      <c r="J55" s="17">
        <v>1085.8368867634799</v>
      </c>
      <c r="K55" s="24">
        <v>1182.0619244068864</v>
      </c>
      <c r="L55" s="24">
        <v>1152.3499999999999</v>
      </c>
      <c r="M55" s="24">
        <v>1130.48</v>
      </c>
      <c r="N55" s="25">
        <v>1316.2518374348967</v>
      </c>
      <c r="O55" s="24">
        <v>1986.3168856474645</v>
      </c>
      <c r="P55" s="24">
        <v>1994.67</v>
      </c>
      <c r="Q55" s="24">
        <v>1995.75</v>
      </c>
      <c r="R55" s="24">
        <v>2150.31</v>
      </c>
      <c r="S55" s="11">
        <f t="shared" si="10"/>
        <v>2340.3242798442984</v>
      </c>
      <c r="T55" s="11">
        <f t="shared" si="10"/>
        <v>2493.8039691898966</v>
      </c>
      <c r="U55" s="11">
        <f t="shared" si="10"/>
        <v>2647.2836585354953</v>
      </c>
      <c r="V55" s="32">
        <f t="shared" si="3"/>
        <v>21475.439441822418</v>
      </c>
      <c r="W55" s="33">
        <f t="shared" si="7"/>
        <v>2800.7633478810935</v>
      </c>
      <c r="X55" s="33">
        <f t="shared" si="9"/>
        <v>2954.2430372266917</v>
      </c>
      <c r="Y55" s="33">
        <f t="shared" si="9"/>
        <v>3107.72272657229</v>
      </c>
      <c r="Z55" s="33">
        <f t="shared" si="9"/>
        <v>3261.2024159178882</v>
      </c>
      <c r="AA55" s="33">
        <f t="shared" si="9"/>
        <v>3414.6821052634868</v>
      </c>
      <c r="AB55" s="33">
        <f t="shared" si="9"/>
        <v>3568.1617946090846</v>
      </c>
      <c r="AC55" s="33">
        <f t="shared" si="9"/>
        <v>3721.6414839546833</v>
      </c>
      <c r="AD55" s="33">
        <f t="shared" si="9"/>
        <v>3875.1211733002815</v>
      </c>
      <c r="AE55" s="33">
        <f t="shared" si="9"/>
        <v>4028.6008626458797</v>
      </c>
      <c r="AF55" s="33">
        <f t="shared" si="9"/>
        <v>4182.0805519914784</v>
      </c>
      <c r="AG55" s="33">
        <f t="shared" si="9"/>
        <v>4335.5602413370761</v>
      </c>
      <c r="AH55" s="33">
        <f t="shared" si="9"/>
        <v>4489.0399306826748</v>
      </c>
      <c r="AI55" s="38">
        <f t="shared" si="5"/>
        <v>43738.819671382604</v>
      </c>
    </row>
    <row r="56" spans="1:35">
      <c r="A56" s="3">
        <v>487</v>
      </c>
      <c r="B56" s="1" t="s">
        <v>140</v>
      </c>
      <c r="C56" s="1" t="s">
        <v>27</v>
      </c>
      <c r="D56" s="1" t="s">
        <v>77</v>
      </c>
      <c r="E56" s="4" t="s">
        <v>14</v>
      </c>
      <c r="F56" s="4">
        <v>81593</v>
      </c>
      <c r="G56" s="4">
        <v>2008</v>
      </c>
      <c r="H56" s="4"/>
      <c r="I56" s="1" t="s">
        <v>141</v>
      </c>
      <c r="J56" s="17">
        <v>89875.933136269916</v>
      </c>
      <c r="K56" s="24">
        <v>97088.087787088385</v>
      </c>
      <c r="L56" s="24">
        <v>92190.35</v>
      </c>
      <c r="M56" s="24">
        <v>104031.51</v>
      </c>
      <c r="N56" s="25">
        <v>127820.09466170835</v>
      </c>
      <c r="O56" s="24">
        <v>146518.0509310576</v>
      </c>
      <c r="P56" s="24">
        <v>165021.64000000001</v>
      </c>
      <c r="Q56" s="24">
        <v>197212.13</v>
      </c>
      <c r="R56" s="24">
        <v>196376.01</v>
      </c>
      <c r="S56" s="11">
        <f t="shared" si="10"/>
        <v>213036.96101780195</v>
      </c>
      <c r="T56" s="11">
        <f t="shared" si="10"/>
        <v>228263.58425032385</v>
      </c>
      <c r="U56" s="11">
        <f t="shared" si="10"/>
        <v>243490.20748284578</v>
      </c>
      <c r="V56" s="32">
        <f t="shared" si="3"/>
        <v>1900924.559267096</v>
      </c>
      <c r="W56" s="33">
        <f t="shared" si="7"/>
        <v>258716.83071536772</v>
      </c>
      <c r="X56" s="33">
        <f t="shared" si="9"/>
        <v>273943.45394788962</v>
      </c>
      <c r="Y56" s="33">
        <f t="shared" si="9"/>
        <v>289170.07718041155</v>
      </c>
      <c r="Z56" s="33">
        <f t="shared" si="9"/>
        <v>304396.70041293348</v>
      </c>
      <c r="AA56" s="33">
        <f t="shared" si="9"/>
        <v>319623.32364545541</v>
      </c>
      <c r="AB56" s="33">
        <f t="shared" si="9"/>
        <v>334849.94687797735</v>
      </c>
      <c r="AC56" s="33">
        <f t="shared" si="9"/>
        <v>350076.57011049928</v>
      </c>
      <c r="AD56" s="33">
        <f t="shared" si="9"/>
        <v>365303.19334302121</v>
      </c>
      <c r="AE56" s="33">
        <f t="shared" si="9"/>
        <v>380529.81657554308</v>
      </c>
      <c r="AF56" s="33">
        <f t="shared" si="9"/>
        <v>395756.43980806501</v>
      </c>
      <c r="AG56" s="33">
        <f t="shared" si="9"/>
        <v>410983.06304058695</v>
      </c>
      <c r="AH56" s="33">
        <f t="shared" si="9"/>
        <v>426209.68627310882</v>
      </c>
      <c r="AI56" s="38">
        <f t="shared" si="5"/>
        <v>4109559.10193086</v>
      </c>
    </row>
    <row r="57" spans="1:35" s="9" customFormat="1">
      <c r="A57" s="3">
        <v>968</v>
      </c>
      <c r="B57" s="1" t="s">
        <v>142</v>
      </c>
      <c r="C57" s="1" t="s">
        <v>27</v>
      </c>
      <c r="D57" s="1" t="s">
        <v>44</v>
      </c>
      <c r="E57" s="4" t="s">
        <v>14</v>
      </c>
      <c r="F57" s="4">
        <v>81593</v>
      </c>
      <c r="G57" s="4">
        <v>2008</v>
      </c>
      <c r="H57" s="4"/>
      <c r="I57" s="44" t="s">
        <v>143</v>
      </c>
      <c r="J57" s="17">
        <v>147.05107225902688</v>
      </c>
      <c r="K57" s="24">
        <v>148.5077119827194</v>
      </c>
      <c r="L57" s="24">
        <v>139.16</v>
      </c>
      <c r="M57" s="24">
        <v>217.26</v>
      </c>
      <c r="N57" s="25">
        <v>254.73241747271061</v>
      </c>
      <c r="O57" s="24">
        <v>261.38173171057815</v>
      </c>
      <c r="P57" s="24">
        <v>256.2</v>
      </c>
      <c r="Q57" s="24">
        <v>276.14999999999998</v>
      </c>
      <c r="R57" s="24">
        <v>276.14999999999998</v>
      </c>
      <c r="S57" s="11">
        <f t="shared" si="10"/>
        <v>323.31379674794334</v>
      </c>
      <c r="T57" s="11">
        <f t="shared" si="10"/>
        <v>342.88720537545322</v>
      </c>
      <c r="U57" s="11">
        <f t="shared" si="10"/>
        <v>362.4606140029631</v>
      </c>
      <c r="V57" s="32">
        <f t="shared" si="3"/>
        <v>3005.2545495513946</v>
      </c>
      <c r="W57" s="33">
        <f t="shared" si="7"/>
        <v>382.03402263047292</v>
      </c>
      <c r="X57" s="33">
        <f t="shared" si="9"/>
        <v>401.60743125798274</v>
      </c>
      <c r="Y57" s="33">
        <f t="shared" si="9"/>
        <v>421.18083988549262</v>
      </c>
      <c r="Z57" s="33">
        <f t="shared" si="9"/>
        <v>440.75424851300249</v>
      </c>
      <c r="AA57" s="33">
        <f t="shared" si="9"/>
        <v>460.32765714051231</v>
      </c>
      <c r="AB57" s="33">
        <f t="shared" si="9"/>
        <v>479.90106576802214</v>
      </c>
      <c r="AC57" s="33">
        <f t="shared" si="9"/>
        <v>499.47447439553201</v>
      </c>
      <c r="AD57" s="33">
        <f t="shared" si="9"/>
        <v>519.04788302304189</v>
      </c>
      <c r="AE57" s="33">
        <f t="shared" si="9"/>
        <v>538.62129165055171</v>
      </c>
      <c r="AF57" s="33">
        <f t="shared" si="9"/>
        <v>558.19470027806153</v>
      </c>
      <c r="AG57" s="33">
        <f t="shared" si="9"/>
        <v>577.76810890557135</v>
      </c>
      <c r="AH57" s="33">
        <f t="shared" si="9"/>
        <v>597.34151753308129</v>
      </c>
      <c r="AI57" s="38">
        <f t="shared" si="5"/>
        <v>5876.2532409813248</v>
      </c>
    </row>
    <row r="58" spans="1:35">
      <c r="A58" s="3">
        <v>675</v>
      </c>
      <c r="B58" s="1" t="s">
        <v>144</v>
      </c>
      <c r="C58" s="1" t="s">
        <v>27</v>
      </c>
      <c r="D58" s="1" t="s">
        <v>34</v>
      </c>
      <c r="E58" s="4" t="s">
        <v>14</v>
      </c>
      <c r="F58" s="4">
        <v>81593</v>
      </c>
      <c r="G58" s="4">
        <v>2006</v>
      </c>
      <c r="H58" s="4"/>
      <c r="I58" s="1" t="s">
        <v>145</v>
      </c>
      <c r="J58" s="17">
        <v>1141.1116301057343</v>
      </c>
      <c r="K58" s="24">
        <v>1161.0680717047348</v>
      </c>
      <c r="L58" s="24">
        <v>1099.54</v>
      </c>
      <c r="M58" s="24">
        <v>1150.5899999999999</v>
      </c>
      <c r="N58" s="25">
        <v>1135.8729199070547</v>
      </c>
      <c r="O58" s="24">
        <v>1133.8398183654629</v>
      </c>
      <c r="P58" s="24">
        <v>1157.54</v>
      </c>
      <c r="Q58" s="24">
        <v>1247.75</v>
      </c>
      <c r="R58" s="24">
        <v>1377.15</v>
      </c>
      <c r="S58" s="11">
        <f t="shared" si="10"/>
        <v>1398.8741513804721</v>
      </c>
      <c r="T58" s="11">
        <f t="shared" si="10"/>
        <v>1420.5983027609439</v>
      </c>
      <c r="U58" s="11">
        <f t="shared" si="10"/>
        <v>1442.3224541414158</v>
      </c>
      <c r="V58" s="32">
        <f t="shared" si="3"/>
        <v>14866.25734836582</v>
      </c>
      <c r="W58" s="33">
        <f t="shared" si="7"/>
        <v>1464.0466055218876</v>
      </c>
      <c r="X58" s="33">
        <f t="shared" si="9"/>
        <v>1485.7707569023596</v>
      </c>
      <c r="Y58" s="33">
        <f t="shared" si="9"/>
        <v>1507.4949082828316</v>
      </c>
      <c r="Z58" s="33">
        <f t="shared" si="9"/>
        <v>1529.2190596633034</v>
      </c>
      <c r="AA58" s="33">
        <f t="shared" si="9"/>
        <v>1550.9432110437754</v>
      </c>
      <c r="AB58" s="33">
        <f t="shared" si="9"/>
        <v>1572.6673624242471</v>
      </c>
      <c r="AC58" s="33">
        <f t="shared" si="9"/>
        <v>1594.3915138047191</v>
      </c>
      <c r="AD58" s="33">
        <f t="shared" si="9"/>
        <v>1616.1156651851911</v>
      </c>
      <c r="AE58" s="33">
        <f t="shared" si="9"/>
        <v>1637.8398165656629</v>
      </c>
      <c r="AF58" s="33">
        <f t="shared" si="9"/>
        <v>1659.5639679461349</v>
      </c>
      <c r="AG58" s="33">
        <f t="shared" si="9"/>
        <v>1681.2881193266066</v>
      </c>
      <c r="AH58" s="33">
        <f t="shared" si="9"/>
        <v>1703.0122707070786</v>
      </c>
      <c r="AI58" s="38">
        <f t="shared" si="5"/>
        <v>19002.353257373798</v>
      </c>
    </row>
    <row r="59" spans="1:35">
      <c r="A59" s="3">
        <v>768</v>
      </c>
      <c r="B59" s="1" t="s">
        <v>146</v>
      </c>
      <c r="C59" s="1" t="s">
        <v>22</v>
      </c>
      <c r="D59" s="1" t="s">
        <v>23</v>
      </c>
      <c r="E59" s="4" t="s">
        <v>14</v>
      </c>
      <c r="F59" s="4">
        <v>81593</v>
      </c>
      <c r="G59" s="4">
        <v>2009</v>
      </c>
      <c r="H59" s="4"/>
      <c r="I59" s="1" t="s">
        <v>147</v>
      </c>
      <c r="J59" s="17">
        <v>187.79554073619093</v>
      </c>
      <c r="K59" s="24">
        <v>186.22820025601993</v>
      </c>
      <c r="L59" s="24">
        <v>192.3</v>
      </c>
      <c r="M59" s="24">
        <v>213.69</v>
      </c>
      <c r="N59" s="25">
        <v>219.5606713069412</v>
      </c>
      <c r="O59" s="24">
        <v>224.02311800910724</v>
      </c>
      <c r="P59" s="24">
        <v>222.6</v>
      </c>
      <c r="Q59" s="24">
        <v>236.21</v>
      </c>
      <c r="R59" s="24">
        <v>240.62</v>
      </c>
      <c r="S59" s="11">
        <f t="shared" si="10"/>
        <v>250.72370204719118</v>
      </c>
      <c r="T59" s="11">
        <f t="shared" si="10"/>
        <v>257.90865111762628</v>
      </c>
      <c r="U59" s="11">
        <f t="shared" si="10"/>
        <v>265.09360018806137</v>
      </c>
      <c r="V59" s="32">
        <f t="shared" si="3"/>
        <v>2696.753483661138</v>
      </c>
      <c r="W59" s="33">
        <f t="shared" si="7"/>
        <v>272.27854925849647</v>
      </c>
      <c r="X59" s="33">
        <f t="shared" si="9"/>
        <v>279.46349832893156</v>
      </c>
      <c r="Y59" s="33">
        <f t="shared" si="9"/>
        <v>286.6484473993666</v>
      </c>
      <c r="Z59" s="33">
        <f t="shared" si="9"/>
        <v>293.8333964698017</v>
      </c>
      <c r="AA59" s="33">
        <f t="shared" si="9"/>
        <v>301.01834554023679</v>
      </c>
      <c r="AB59" s="33">
        <f t="shared" si="9"/>
        <v>308.20329461067189</v>
      </c>
      <c r="AC59" s="33">
        <f t="shared" si="9"/>
        <v>315.38824368110699</v>
      </c>
      <c r="AD59" s="33">
        <f t="shared" ref="X59:AH82" si="11">MAX(IF($R59=0,0,_xlfn.FORECAST.ETS(AD$1,$J59:$R59,$J$1:$R$1)),0)</f>
        <v>322.57319275154208</v>
      </c>
      <c r="AE59" s="33">
        <f t="shared" si="11"/>
        <v>329.75814182197718</v>
      </c>
      <c r="AF59" s="33">
        <f t="shared" si="11"/>
        <v>336.94309089241221</v>
      </c>
      <c r="AG59" s="33">
        <f t="shared" si="11"/>
        <v>344.12803996284731</v>
      </c>
      <c r="AH59" s="33">
        <f t="shared" si="11"/>
        <v>351.31298903328241</v>
      </c>
      <c r="AI59" s="38">
        <f t="shared" si="5"/>
        <v>3741.5492297506735</v>
      </c>
    </row>
    <row r="60" spans="1:35">
      <c r="A60" s="3">
        <v>390</v>
      </c>
      <c r="B60" s="1" t="s">
        <v>148</v>
      </c>
      <c r="C60" s="1" t="s">
        <v>12</v>
      </c>
      <c r="D60" s="1" t="s">
        <v>149</v>
      </c>
      <c r="E60" s="4" t="s">
        <v>14</v>
      </c>
      <c r="F60" s="4">
        <v>81593</v>
      </c>
      <c r="G60" s="4">
        <v>1107</v>
      </c>
      <c r="H60" s="4"/>
      <c r="I60" s="1" t="s">
        <v>150</v>
      </c>
      <c r="J60" s="17">
        <v>12856.905301408327</v>
      </c>
      <c r="K60" s="24">
        <v>13581.771409058232</v>
      </c>
      <c r="L60" s="24">
        <v>13418.92</v>
      </c>
      <c r="M60" s="24">
        <v>15566.51</v>
      </c>
      <c r="N60" s="25">
        <v>16353.933441146868</v>
      </c>
      <c r="O60" s="24">
        <v>15582.51669002133</v>
      </c>
      <c r="P60" s="24">
        <v>17510.990000000002</v>
      </c>
      <c r="Q60" s="24">
        <v>19505.45</v>
      </c>
      <c r="R60" s="24">
        <v>20241</v>
      </c>
      <c r="S60" s="11">
        <f t="shared" si="10"/>
        <v>20840.216593575366</v>
      </c>
      <c r="T60" s="11">
        <f t="shared" si="10"/>
        <v>21762.753704518334</v>
      </c>
      <c r="U60" s="11">
        <f t="shared" si="10"/>
        <v>22685.290815461307</v>
      </c>
      <c r="V60" s="32">
        <f t="shared" si="3"/>
        <v>209906.25795518979</v>
      </c>
      <c r="W60" s="33">
        <f t="shared" si="7"/>
        <v>23607.827926404276</v>
      </c>
      <c r="X60" s="33">
        <f t="shared" si="11"/>
        <v>24530.365037347248</v>
      </c>
      <c r="Y60" s="33">
        <f t="shared" si="11"/>
        <v>25452.902148290217</v>
      </c>
      <c r="Z60" s="33">
        <f t="shared" si="11"/>
        <v>26375.43925923319</v>
      </c>
      <c r="AA60" s="33">
        <f t="shared" si="11"/>
        <v>27297.976370176162</v>
      </c>
      <c r="AB60" s="33">
        <f t="shared" si="11"/>
        <v>28220.513481119131</v>
      </c>
      <c r="AC60" s="33">
        <f t="shared" si="11"/>
        <v>29143.050592062104</v>
      </c>
      <c r="AD60" s="33">
        <f t="shared" si="11"/>
        <v>30065.587703005076</v>
      </c>
      <c r="AE60" s="33">
        <f t="shared" si="11"/>
        <v>30988.124813948045</v>
      </c>
      <c r="AF60" s="33">
        <f t="shared" si="11"/>
        <v>31910.661924891014</v>
      </c>
      <c r="AG60" s="33">
        <f t="shared" si="11"/>
        <v>32833.19903583399</v>
      </c>
      <c r="AH60" s="33">
        <f t="shared" si="11"/>
        <v>33755.736146776959</v>
      </c>
      <c r="AI60" s="38">
        <f t="shared" si="5"/>
        <v>344181.38443908736</v>
      </c>
    </row>
    <row r="61" spans="1:35">
      <c r="A61" s="27">
        <v>588</v>
      </c>
      <c r="B61" s="28" t="s">
        <v>151</v>
      </c>
      <c r="C61" s="28" t="s">
        <v>27</v>
      </c>
      <c r="D61" s="28" t="s">
        <v>77</v>
      </c>
      <c r="E61" s="29" t="s">
        <v>14</v>
      </c>
      <c r="F61" s="29">
        <v>81593</v>
      </c>
      <c r="G61" s="29">
        <v>2008</v>
      </c>
      <c r="H61" s="39" t="s">
        <v>152</v>
      </c>
      <c r="I61" s="28" t="s">
        <v>153</v>
      </c>
      <c r="J61" s="17">
        <v>4708.20349515202</v>
      </c>
      <c r="K61" s="24">
        <v>8496.5319624761141</v>
      </c>
      <c r="L61" s="24">
        <v>1794.93</v>
      </c>
      <c r="M61" s="24">
        <v>173.25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11">
        <f t="shared" si="10"/>
        <v>0</v>
      </c>
      <c r="T61" s="11">
        <f t="shared" si="10"/>
        <v>0</v>
      </c>
      <c r="U61" s="11">
        <f t="shared" si="10"/>
        <v>0</v>
      </c>
      <c r="V61" s="32">
        <f t="shared" si="3"/>
        <v>15172.915457628134</v>
      </c>
      <c r="W61" s="33">
        <f t="shared" si="7"/>
        <v>0</v>
      </c>
      <c r="X61" s="33">
        <f t="shared" si="11"/>
        <v>0</v>
      </c>
      <c r="Y61" s="33">
        <f t="shared" si="11"/>
        <v>0</v>
      </c>
      <c r="Z61" s="33">
        <f t="shared" si="11"/>
        <v>0</v>
      </c>
      <c r="AA61" s="33">
        <f t="shared" si="11"/>
        <v>0</v>
      </c>
      <c r="AB61" s="33">
        <f t="shared" si="11"/>
        <v>0</v>
      </c>
      <c r="AC61" s="33">
        <f t="shared" si="11"/>
        <v>0</v>
      </c>
      <c r="AD61" s="33">
        <f t="shared" si="11"/>
        <v>0</v>
      </c>
      <c r="AE61" s="33">
        <f t="shared" si="11"/>
        <v>0</v>
      </c>
      <c r="AF61" s="33">
        <f t="shared" si="11"/>
        <v>0</v>
      </c>
      <c r="AG61" s="33">
        <f t="shared" si="11"/>
        <v>0</v>
      </c>
      <c r="AH61" s="33">
        <f t="shared" si="11"/>
        <v>0</v>
      </c>
      <c r="AI61" s="38">
        <f t="shared" si="5"/>
        <v>0</v>
      </c>
    </row>
    <row r="62" spans="1:35">
      <c r="A62" s="3">
        <v>557</v>
      </c>
      <c r="B62" s="1" t="s">
        <v>154</v>
      </c>
      <c r="C62" s="1" t="s">
        <v>27</v>
      </c>
      <c r="D62" s="1" t="s">
        <v>34</v>
      </c>
      <c r="E62" s="4" t="s">
        <v>14</v>
      </c>
      <c r="F62" s="4">
        <v>81593</v>
      </c>
      <c r="G62" s="4">
        <v>2006</v>
      </c>
      <c r="H62" s="4"/>
      <c r="I62" s="1" t="s">
        <v>155</v>
      </c>
      <c r="J62" s="17">
        <v>1370.3339119466505</v>
      </c>
      <c r="K62" s="24">
        <v>1466.1794439613245</v>
      </c>
      <c r="L62" s="24">
        <v>1320.29</v>
      </c>
      <c r="M62" s="24">
        <v>1166.23</v>
      </c>
      <c r="N62" s="25">
        <v>531.13724250448536</v>
      </c>
      <c r="O62" s="24">
        <v>1109.7875993348341</v>
      </c>
      <c r="P62" s="24">
        <v>1348.64</v>
      </c>
      <c r="Q62" s="24">
        <v>1206.02</v>
      </c>
      <c r="R62" s="24">
        <v>534.23</v>
      </c>
      <c r="S62" s="11">
        <f t="shared" si="10"/>
        <v>752.97646048450918</v>
      </c>
      <c r="T62" s="11">
        <f t="shared" si="10"/>
        <v>684.42282255396447</v>
      </c>
      <c r="U62" s="11">
        <f t="shared" si="10"/>
        <v>615.86918462342021</v>
      </c>
      <c r="V62" s="32">
        <f t="shared" si="3"/>
        <v>12106.116665409188</v>
      </c>
      <c r="W62" s="33">
        <f t="shared" si="7"/>
        <v>547.31554669287539</v>
      </c>
      <c r="X62" s="33">
        <f t="shared" si="11"/>
        <v>478.76190876233107</v>
      </c>
      <c r="Y62" s="33">
        <f t="shared" si="11"/>
        <v>410.20827083178631</v>
      </c>
      <c r="Z62" s="33">
        <f t="shared" si="11"/>
        <v>341.654632901242</v>
      </c>
      <c r="AA62" s="33">
        <f t="shared" si="11"/>
        <v>273.10099497069723</v>
      </c>
      <c r="AB62" s="33">
        <f t="shared" si="11"/>
        <v>204.54735704015297</v>
      </c>
      <c r="AC62" s="33">
        <f t="shared" si="11"/>
        <v>135.99371910960815</v>
      </c>
      <c r="AD62" s="33">
        <f t="shared" si="11"/>
        <v>67.440081179063768</v>
      </c>
      <c r="AE62" s="33">
        <f t="shared" si="11"/>
        <v>0</v>
      </c>
      <c r="AF62" s="33">
        <f t="shared" si="11"/>
        <v>0</v>
      </c>
      <c r="AG62" s="33">
        <f t="shared" si="11"/>
        <v>0</v>
      </c>
      <c r="AH62" s="33">
        <f t="shared" si="11"/>
        <v>0</v>
      </c>
      <c r="AI62" s="38">
        <f t="shared" si="5"/>
        <v>2459.0225114877571</v>
      </c>
    </row>
    <row r="63" spans="1:35">
      <c r="A63" s="3">
        <v>775</v>
      </c>
      <c r="B63" s="1" t="s">
        <v>156</v>
      </c>
      <c r="C63" s="1" t="s">
        <v>12</v>
      </c>
      <c r="D63" s="1" t="s">
        <v>19</v>
      </c>
      <c r="E63" s="4" t="s">
        <v>14</v>
      </c>
      <c r="F63" s="4">
        <v>81593</v>
      </c>
      <c r="G63" s="4">
        <v>1107</v>
      </c>
      <c r="H63" s="4"/>
      <c r="I63" s="1" t="s">
        <v>157</v>
      </c>
      <c r="J63" s="17">
        <v>41957.709116614751</v>
      </c>
      <c r="K63" s="24">
        <v>36118.934306922587</v>
      </c>
      <c r="L63" s="24">
        <v>31809.79</v>
      </c>
      <c r="M63" s="24">
        <v>43102.47</v>
      </c>
      <c r="N63" s="25">
        <v>40649.100254544639</v>
      </c>
      <c r="O63" s="24">
        <v>35944.664632969245</v>
      </c>
      <c r="P63" s="24">
        <v>32404.45</v>
      </c>
      <c r="Q63" s="24">
        <v>34029.4</v>
      </c>
      <c r="R63" s="24">
        <v>29818.03</v>
      </c>
      <c r="S63" s="11">
        <f t="shared" si="10"/>
        <v>32733.029750076003</v>
      </c>
      <c r="T63" s="11">
        <f t="shared" si="10"/>
        <v>31704.810365068421</v>
      </c>
      <c r="U63" s="11">
        <f t="shared" si="10"/>
        <v>30676.590980060835</v>
      </c>
      <c r="V63" s="32">
        <f t="shared" si="3"/>
        <v>420948.97940625646</v>
      </c>
      <c r="W63" s="33">
        <f t="shared" si="7"/>
        <v>29648.371595053253</v>
      </c>
      <c r="X63" s="33">
        <f t="shared" si="11"/>
        <v>28620.152210045671</v>
      </c>
      <c r="Y63" s="33">
        <f t="shared" si="11"/>
        <v>27591.932825038086</v>
      </c>
      <c r="Z63" s="33">
        <f t="shared" si="11"/>
        <v>26563.713440030504</v>
      </c>
      <c r="AA63" s="33">
        <f t="shared" si="11"/>
        <v>25535.494055022922</v>
      </c>
      <c r="AB63" s="33">
        <f t="shared" si="11"/>
        <v>24507.27467001534</v>
      </c>
      <c r="AC63" s="33">
        <f t="shared" si="11"/>
        <v>23479.055285007758</v>
      </c>
      <c r="AD63" s="33">
        <f t="shared" si="11"/>
        <v>22450.835900000173</v>
      </c>
      <c r="AE63" s="33">
        <f t="shared" si="11"/>
        <v>21422.616514992591</v>
      </c>
      <c r="AF63" s="33">
        <f t="shared" si="11"/>
        <v>20394.397129985009</v>
      </c>
      <c r="AG63" s="33">
        <f t="shared" si="11"/>
        <v>19366.177744977424</v>
      </c>
      <c r="AH63" s="33">
        <f t="shared" si="11"/>
        <v>18337.958359969842</v>
      </c>
      <c r="AI63" s="38">
        <f t="shared" si="5"/>
        <v>287917.97973013861</v>
      </c>
    </row>
    <row r="64" spans="1:35">
      <c r="A64" s="27">
        <v>785</v>
      </c>
      <c r="B64" s="28" t="s">
        <v>158</v>
      </c>
      <c r="C64" s="28" t="s">
        <v>22</v>
      </c>
      <c r="D64" s="28" t="s">
        <v>77</v>
      </c>
      <c r="E64" s="29" t="s">
        <v>14</v>
      </c>
      <c r="F64" s="29">
        <v>81593</v>
      </c>
      <c r="G64" s="29">
        <v>2009</v>
      </c>
      <c r="H64" s="39" t="s">
        <v>159</v>
      </c>
      <c r="I64" s="28" t="s">
        <v>160</v>
      </c>
      <c r="J64" s="17">
        <v>561.15857565919362</v>
      </c>
      <c r="K64" s="24">
        <v>559.64713094798526</v>
      </c>
      <c r="L64" s="24">
        <v>558.92999999999995</v>
      </c>
      <c r="M64" s="24">
        <v>587.59</v>
      </c>
      <c r="N64" s="25">
        <v>195.17411101213733</v>
      </c>
      <c r="O64" s="24">
        <v>0</v>
      </c>
      <c r="P64" s="24">
        <v>0</v>
      </c>
      <c r="Q64" s="24">
        <v>0</v>
      </c>
      <c r="R64" s="24">
        <v>0</v>
      </c>
      <c r="S64" s="11">
        <f t="shared" si="10"/>
        <v>0</v>
      </c>
      <c r="T64" s="11">
        <f t="shared" si="10"/>
        <v>0</v>
      </c>
      <c r="U64" s="11">
        <f t="shared" si="10"/>
        <v>0</v>
      </c>
      <c r="V64" s="32">
        <f t="shared" si="3"/>
        <v>2462.4998176193162</v>
      </c>
      <c r="W64" s="33">
        <f t="shared" si="7"/>
        <v>0</v>
      </c>
      <c r="X64" s="33">
        <f t="shared" si="11"/>
        <v>0</v>
      </c>
      <c r="Y64" s="33">
        <f t="shared" si="11"/>
        <v>0</v>
      </c>
      <c r="Z64" s="33">
        <f t="shared" si="11"/>
        <v>0</v>
      </c>
      <c r="AA64" s="33">
        <f t="shared" si="11"/>
        <v>0</v>
      </c>
      <c r="AB64" s="33">
        <f t="shared" si="11"/>
        <v>0</v>
      </c>
      <c r="AC64" s="33">
        <f t="shared" si="11"/>
        <v>0</v>
      </c>
      <c r="AD64" s="33">
        <f t="shared" si="11"/>
        <v>0</v>
      </c>
      <c r="AE64" s="33">
        <f t="shared" si="11"/>
        <v>0</v>
      </c>
      <c r="AF64" s="33">
        <f t="shared" si="11"/>
        <v>0</v>
      </c>
      <c r="AG64" s="33">
        <f t="shared" si="11"/>
        <v>0</v>
      </c>
      <c r="AH64" s="33">
        <f t="shared" si="11"/>
        <v>0</v>
      </c>
      <c r="AI64" s="38">
        <f t="shared" si="5"/>
        <v>0</v>
      </c>
    </row>
    <row r="65" spans="1:35">
      <c r="A65" s="3">
        <v>669</v>
      </c>
      <c r="B65" s="1" t="s">
        <v>161</v>
      </c>
      <c r="C65" s="1" t="s">
        <v>22</v>
      </c>
      <c r="D65" s="1" t="s">
        <v>34</v>
      </c>
      <c r="E65" s="4" t="s">
        <v>14</v>
      </c>
      <c r="F65" s="4">
        <v>81593</v>
      </c>
      <c r="G65" s="4">
        <v>2011</v>
      </c>
      <c r="H65" s="4"/>
      <c r="I65" s="1" t="s">
        <v>162</v>
      </c>
      <c r="J65" s="17">
        <v>3071.0690042995657</v>
      </c>
      <c r="K65" s="24">
        <v>3080.2783870176359</v>
      </c>
      <c r="L65" s="24">
        <v>2911.96</v>
      </c>
      <c r="M65" s="24">
        <v>3169.21</v>
      </c>
      <c r="N65" s="25">
        <v>1192.910941684441</v>
      </c>
      <c r="O65" s="24">
        <v>2890.208919133469</v>
      </c>
      <c r="P65" s="24">
        <v>2747.15</v>
      </c>
      <c r="Q65" s="24">
        <v>3360.27</v>
      </c>
      <c r="R65" s="24">
        <v>3152.39</v>
      </c>
      <c r="S65" s="11">
        <f t="shared" si="10"/>
        <v>2989.3608336096186</v>
      </c>
      <c r="T65" s="11">
        <f t="shared" si="10"/>
        <v>2997.0838525724807</v>
      </c>
      <c r="U65" s="11">
        <f t="shared" si="10"/>
        <v>3004.8068715353452</v>
      </c>
      <c r="V65" s="32">
        <f t="shared" si="3"/>
        <v>34566.698809852554</v>
      </c>
      <c r="W65" s="33">
        <f t="shared" si="7"/>
        <v>3012.5298904982078</v>
      </c>
      <c r="X65" s="33">
        <f t="shared" si="11"/>
        <v>3020.2529094610718</v>
      </c>
      <c r="Y65" s="33">
        <f t="shared" si="11"/>
        <v>3027.9759284239344</v>
      </c>
      <c r="Z65" s="33">
        <f t="shared" si="11"/>
        <v>3035.6989473867989</v>
      </c>
      <c r="AA65" s="33">
        <f t="shared" si="11"/>
        <v>3043.421966349661</v>
      </c>
      <c r="AB65" s="33">
        <f t="shared" si="11"/>
        <v>3051.1449853125255</v>
      </c>
      <c r="AC65" s="33">
        <f t="shared" si="11"/>
        <v>3058.8680042753881</v>
      </c>
      <c r="AD65" s="33">
        <f t="shared" si="11"/>
        <v>3066.5910232382525</v>
      </c>
      <c r="AE65" s="33">
        <f t="shared" si="11"/>
        <v>3074.3140422011147</v>
      </c>
      <c r="AF65" s="33">
        <f t="shared" si="11"/>
        <v>3082.0370611639792</v>
      </c>
      <c r="AG65" s="33">
        <f t="shared" si="11"/>
        <v>3089.7600801268418</v>
      </c>
      <c r="AH65" s="33">
        <f t="shared" si="11"/>
        <v>3097.4830990897058</v>
      </c>
      <c r="AI65" s="38">
        <f t="shared" si="5"/>
        <v>36660.07793752748</v>
      </c>
    </row>
    <row r="66" spans="1:35" s="15" customFormat="1">
      <c r="A66" s="3">
        <v>1011</v>
      </c>
      <c r="B66" s="1" t="s">
        <v>163</v>
      </c>
      <c r="C66" s="1" t="s">
        <v>27</v>
      </c>
      <c r="D66" s="1" t="s">
        <v>44</v>
      </c>
      <c r="E66" s="4" t="s">
        <v>14</v>
      </c>
      <c r="F66" s="4">
        <v>81593</v>
      </c>
      <c r="G66" s="4">
        <v>2008</v>
      </c>
      <c r="H66" s="4"/>
      <c r="I66" s="44" t="s">
        <v>164</v>
      </c>
      <c r="J66" s="17">
        <v>7502.856140701092</v>
      </c>
      <c r="K66" s="24">
        <v>7759.9183105589473</v>
      </c>
      <c r="L66" s="24">
        <v>7733.47</v>
      </c>
      <c r="M66" s="24">
        <v>9054.9</v>
      </c>
      <c r="N66" s="25">
        <v>11526.761782725287</v>
      </c>
      <c r="O66" s="24">
        <v>11727.369169902293</v>
      </c>
      <c r="P66" s="24">
        <v>13461.25</v>
      </c>
      <c r="Q66" s="24">
        <v>18650.54</v>
      </c>
      <c r="R66" s="24">
        <v>26704.09</v>
      </c>
      <c r="S66" s="11">
        <f t="shared" si="10"/>
        <v>28764.170494590351</v>
      </c>
      <c r="T66" s="11">
        <f t="shared" si="10"/>
        <v>30824.250989180706</v>
      </c>
      <c r="U66" s="11">
        <f t="shared" si="10"/>
        <v>32884.331483771057</v>
      </c>
      <c r="V66" s="32">
        <f t="shared" si="3"/>
        <v>206593.90837142974</v>
      </c>
      <c r="W66" s="33">
        <f t="shared" si="7"/>
        <v>34944.411978361408</v>
      </c>
      <c r="X66" s="33">
        <f t="shared" si="11"/>
        <v>37004.492472951759</v>
      </c>
      <c r="Y66" s="33">
        <f t="shared" si="11"/>
        <v>39064.57296754211</v>
      </c>
      <c r="Z66" s="33">
        <f t="shared" si="11"/>
        <v>41124.653462132468</v>
      </c>
      <c r="AA66" s="33">
        <f t="shared" si="11"/>
        <v>43184.733956722819</v>
      </c>
      <c r="AB66" s="33">
        <f t="shared" si="11"/>
        <v>45244.81445131317</v>
      </c>
      <c r="AC66" s="33">
        <f t="shared" si="11"/>
        <v>47304.894945903521</v>
      </c>
      <c r="AD66" s="33">
        <f t="shared" si="11"/>
        <v>49364.975440493872</v>
      </c>
      <c r="AE66" s="33">
        <f t="shared" si="11"/>
        <v>51425.055935084223</v>
      </c>
      <c r="AF66" s="33">
        <f t="shared" si="11"/>
        <v>53485.136429674574</v>
      </c>
      <c r="AG66" s="33">
        <f t="shared" si="11"/>
        <v>55545.216924264925</v>
      </c>
      <c r="AH66" s="33">
        <f t="shared" si="11"/>
        <v>57605.297418855276</v>
      </c>
      <c r="AI66" s="38">
        <f t="shared" si="5"/>
        <v>555298.25638330006</v>
      </c>
    </row>
    <row r="67" spans="1:35">
      <c r="A67" s="27">
        <v>896</v>
      </c>
      <c r="B67" s="28" t="s">
        <v>165</v>
      </c>
      <c r="C67" s="28" t="s">
        <v>27</v>
      </c>
      <c r="D67" s="28" t="s">
        <v>77</v>
      </c>
      <c r="E67" s="29" t="s">
        <v>14</v>
      </c>
      <c r="F67" s="29">
        <v>81593</v>
      </c>
      <c r="G67" s="29">
        <v>2008</v>
      </c>
      <c r="H67" s="39" t="s">
        <v>166</v>
      </c>
      <c r="I67" s="28" t="s">
        <v>167</v>
      </c>
      <c r="J67" s="17">
        <v>30676.075367656736</v>
      </c>
      <c r="K67" s="24">
        <v>36652.988829864335</v>
      </c>
      <c r="L67" s="24">
        <v>7768.66</v>
      </c>
      <c r="M67" s="24">
        <v>294.86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11">
        <f t="shared" si="10"/>
        <v>0</v>
      </c>
      <c r="T67" s="11">
        <f t="shared" si="10"/>
        <v>0</v>
      </c>
      <c r="U67" s="11">
        <f t="shared" si="10"/>
        <v>0</v>
      </c>
      <c r="V67" s="32">
        <f t="shared" si="3"/>
        <v>75392.584197521079</v>
      </c>
      <c r="W67" s="33">
        <f t="shared" si="7"/>
        <v>0</v>
      </c>
      <c r="X67" s="33">
        <f t="shared" si="11"/>
        <v>0</v>
      </c>
      <c r="Y67" s="33">
        <f t="shared" si="11"/>
        <v>0</v>
      </c>
      <c r="Z67" s="33">
        <f t="shared" si="11"/>
        <v>0</v>
      </c>
      <c r="AA67" s="33">
        <f t="shared" si="11"/>
        <v>0</v>
      </c>
      <c r="AB67" s="33">
        <f t="shared" si="11"/>
        <v>0</v>
      </c>
      <c r="AC67" s="33">
        <f t="shared" si="11"/>
        <v>0</v>
      </c>
      <c r="AD67" s="33">
        <f t="shared" si="11"/>
        <v>0</v>
      </c>
      <c r="AE67" s="33">
        <f t="shared" si="11"/>
        <v>0</v>
      </c>
      <c r="AF67" s="33">
        <f t="shared" si="11"/>
        <v>0</v>
      </c>
      <c r="AG67" s="33">
        <f t="shared" si="11"/>
        <v>0</v>
      </c>
      <c r="AH67" s="33">
        <f t="shared" si="11"/>
        <v>0</v>
      </c>
      <c r="AI67" s="38">
        <f t="shared" si="5"/>
        <v>0</v>
      </c>
    </row>
    <row r="68" spans="1:35">
      <c r="A68" s="3">
        <v>227</v>
      </c>
      <c r="B68" s="1" t="s">
        <v>168</v>
      </c>
      <c r="C68" s="1" t="s">
        <v>22</v>
      </c>
      <c r="D68" s="1" t="s">
        <v>77</v>
      </c>
      <c r="E68" s="4" t="s">
        <v>14</v>
      </c>
      <c r="F68" s="4">
        <v>81593</v>
      </c>
      <c r="G68" s="4">
        <v>2009</v>
      </c>
      <c r="H68" s="4"/>
      <c r="I68" s="1" t="s">
        <v>169</v>
      </c>
      <c r="J68" s="17">
        <v>6396.5297540911688</v>
      </c>
      <c r="K68" s="24">
        <v>7097.1948921207231</v>
      </c>
      <c r="L68" s="24">
        <v>7681.11</v>
      </c>
      <c r="M68" s="24">
        <v>8752.44</v>
      </c>
      <c r="N68" s="25">
        <v>9498.9427673494956</v>
      </c>
      <c r="O68" s="24">
        <v>10926.52134249049</v>
      </c>
      <c r="P68" s="24">
        <v>11490.15</v>
      </c>
      <c r="Q68" s="24">
        <v>12756.59</v>
      </c>
      <c r="R68" s="24">
        <v>12553.38</v>
      </c>
      <c r="S68" s="11">
        <f t="shared" si="10"/>
        <v>14122.931882751</v>
      </c>
      <c r="T68" s="11">
        <f t="shared" si="10"/>
        <v>14266.241105707828</v>
      </c>
      <c r="U68" s="11">
        <f t="shared" si="10"/>
        <v>15835.100120783611</v>
      </c>
      <c r="V68" s="32">
        <f t="shared" si="3"/>
        <v>131377.13186529433</v>
      </c>
      <c r="W68" s="33">
        <f t="shared" si="7"/>
        <v>15978.409343740441</v>
      </c>
      <c r="X68" s="33">
        <f t="shared" si="11"/>
        <v>17547.268358816222</v>
      </c>
      <c r="Y68" s="33">
        <f t="shared" si="11"/>
        <v>17690.577581773054</v>
      </c>
      <c r="Z68" s="33">
        <f t="shared" si="11"/>
        <v>19259.436596848835</v>
      </c>
      <c r="AA68" s="33">
        <f t="shared" si="11"/>
        <v>19402.745819805663</v>
      </c>
      <c r="AB68" s="33">
        <f t="shared" si="11"/>
        <v>20971.604834881444</v>
      </c>
      <c r="AC68" s="33">
        <f t="shared" si="11"/>
        <v>21114.914057838272</v>
      </c>
      <c r="AD68" s="33">
        <f t="shared" si="11"/>
        <v>22683.773072914057</v>
      </c>
      <c r="AE68" s="33">
        <f t="shared" si="11"/>
        <v>22827.082295870889</v>
      </c>
      <c r="AF68" s="33">
        <f t="shared" si="11"/>
        <v>24395.94131094667</v>
      </c>
      <c r="AG68" s="33">
        <f t="shared" si="11"/>
        <v>24539.250533903498</v>
      </c>
      <c r="AH68" s="33">
        <f t="shared" si="11"/>
        <v>26108.109548979279</v>
      </c>
      <c r="AI68" s="38">
        <f t="shared" si="5"/>
        <v>252519.11335631827</v>
      </c>
    </row>
    <row r="69" spans="1:35" s="15" customFormat="1">
      <c r="A69" s="3">
        <v>1063</v>
      </c>
      <c r="B69" s="1" t="s">
        <v>170</v>
      </c>
      <c r="C69" s="1" t="s">
        <v>22</v>
      </c>
      <c r="D69" s="1" t="s">
        <v>44</v>
      </c>
      <c r="E69" s="4" t="s">
        <v>14</v>
      </c>
      <c r="F69" s="4">
        <v>81593</v>
      </c>
      <c r="G69" s="4">
        <v>2009</v>
      </c>
      <c r="H69" s="4"/>
      <c r="I69" s="44">
        <v>463470949682</v>
      </c>
      <c r="J69" s="17">
        <v>0</v>
      </c>
      <c r="K69" s="24">
        <v>0</v>
      </c>
      <c r="L69" s="24">
        <v>97.45</v>
      </c>
      <c r="M69" s="24">
        <v>391.94</v>
      </c>
      <c r="N69" s="25">
        <v>550.84035879288137</v>
      </c>
      <c r="O69" s="24">
        <v>656.44880376155038</v>
      </c>
      <c r="P69" s="24">
        <v>714.86</v>
      </c>
      <c r="Q69" s="24">
        <v>784.9</v>
      </c>
      <c r="R69" s="24">
        <v>656.19</v>
      </c>
      <c r="S69" s="11">
        <f t="shared" si="10"/>
        <v>971.59510679420248</v>
      </c>
      <c r="T69" s="11">
        <f t="shared" si="10"/>
        <v>1079.5428726765008</v>
      </c>
      <c r="U69" s="11">
        <f t="shared" si="10"/>
        <v>1187.490638558799</v>
      </c>
      <c r="V69" s="32">
        <f t="shared" si="3"/>
        <v>7091.2577805839346</v>
      </c>
      <c r="W69" s="33">
        <f t="shared" si="7"/>
        <v>1295.4384044410972</v>
      </c>
      <c r="X69" s="33">
        <f t="shared" si="11"/>
        <v>1403.3861703233956</v>
      </c>
      <c r="Y69" s="33">
        <f t="shared" si="11"/>
        <v>1511.3339362056938</v>
      </c>
      <c r="Z69" s="33">
        <f t="shared" si="11"/>
        <v>1619.281702087992</v>
      </c>
      <c r="AA69" s="33">
        <f t="shared" si="11"/>
        <v>1727.2294679702904</v>
      </c>
      <c r="AB69" s="33">
        <f t="shared" si="11"/>
        <v>1835.1772338525889</v>
      </c>
      <c r="AC69" s="33">
        <f t="shared" si="11"/>
        <v>1943.1249997348871</v>
      </c>
      <c r="AD69" s="33">
        <f t="shared" si="11"/>
        <v>2051.0727656171853</v>
      </c>
      <c r="AE69" s="33">
        <f t="shared" si="11"/>
        <v>2159.0205314994837</v>
      </c>
      <c r="AF69" s="33">
        <f t="shared" si="11"/>
        <v>2266.9682973817817</v>
      </c>
      <c r="AG69" s="33">
        <f t="shared" si="11"/>
        <v>2374.9160632640801</v>
      </c>
      <c r="AH69" s="33">
        <f t="shared" si="11"/>
        <v>2482.8638291463785</v>
      </c>
      <c r="AI69" s="38">
        <f t="shared" si="5"/>
        <v>22669.813401524858</v>
      </c>
    </row>
    <row r="70" spans="1:35">
      <c r="A70" s="3">
        <v>412</v>
      </c>
      <c r="B70" s="1" t="s">
        <v>171</v>
      </c>
      <c r="C70" s="1" t="s">
        <v>22</v>
      </c>
      <c r="D70" s="1" t="s">
        <v>34</v>
      </c>
      <c r="E70" s="4" t="s">
        <v>14</v>
      </c>
      <c r="F70" s="4">
        <v>81593</v>
      </c>
      <c r="G70" s="4">
        <v>2011</v>
      </c>
      <c r="H70" s="4"/>
      <c r="I70" s="1" t="s">
        <v>172</v>
      </c>
      <c r="J70" s="17">
        <v>891.5064535164305</v>
      </c>
      <c r="K70" s="24">
        <v>946.4452311409143</v>
      </c>
      <c r="L70" s="24">
        <v>1108.8499999999999</v>
      </c>
      <c r="M70" s="24">
        <v>1151.6099999999999</v>
      </c>
      <c r="N70" s="25">
        <v>1210.7570061010149</v>
      </c>
      <c r="O70" s="24">
        <v>1260.2398540551542</v>
      </c>
      <c r="P70" s="24">
        <v>1033.77</v>
      </c>
      <c r="Q70" s="24">
        <v>1088.48</v>
      </c>
      <c r="R70" s="24">
        <v>1085.31</v>
      </c>
      <c r="S70" s="11">
        <f t="shared" si="10"/>
        <v>1106.8304776241532</v>
      </c>
      <c r="T70" s="11">
        <f t="shared" si="10"/>
        <v>1126.2049398072465</v>
      </c>
      <c r="U70" s="11">
        <f t="shared" si="10"/>
        <v>1145.5794019903401</v>
      </c>
      <c r="V70" s="32">
        <f t="shared" si="3"/>
        <v>13155.583364235252</v>
      </c>
      <c r="W70" s="33">
        <f t="shared" ref="W70:W133" si="12">MAX(IF($R70=0,0,_xlfn.FORECAST.ETS(W$1,$J70:$R70,$J$1:$R$1)),0)</f>
        <v>1164.9538641734334</v>
      </c>
      <c r="X70" s="33">
        <f t="shared" si="11"/>
        <v>1184.328326356527</v>
      </c>
      <c r="Y70" s="33">
        <f t="shared" si="11"/>
        <v>1203.7027885396205</v>
      </c>
      <c r="Z70" s="33">
        <f t="shared" si="11"/>
        <v>1223.0772507227139</v>
      </c>
      <c r="AA70" s="33">
        <f t="shared" si="11"/>
        <v>1242.4517129058074</v>
      </c>
      <c r="AB70" s="33">
        <f t="shared" si="11"/>
        <v>1261.826175088901</v>
      </c>
      <c r="AC70" s="33">
        <f t="shared" si="11"/>
        <v>1281.2006372719943</v>
      </c>
      <c r="AD70" s="33">
        <f t="shared" si="11"/>
        <v>1300.5750994550879</v>
      </c>
      <c r="AE70" s="33">
        <f t="shared" si="11"/>
        <v>1319.9495616381814</v>
      </c>
      <c r="AF70" s="33">
        <f t="shared" si="11"/>
        <v>1339.3240238212747</v>
      </c>
      <c r="AG70" s="33">
        <f t="shared" si="11"/>
        <v>1358.6984860043683</v>
      </c>
      <c r="AH70" s="33">
        <f t="shared" si="11"/>
        <v>1378.0729481874619</v>
      </c>
      <c r="AI70" s="38">
        <f t="shared" ref="AI70:AI133" si="13">SUM(W70:AH70)</f>
        <v>15258.160874165373</v>
      </c>
    </row>
    <row r="71" spans="1:35">
      <c r="A71" s="27">
        <v>653</v>
      </c>
      <c r="B71" s="28" t="s">
        <v>173</v>
      </c>
      <c r="C71" s="28" t="s">
        <v>22</v>
      </c>
      <c r="D71" s="28" t="s">
        <v>34</v>
      </c>
      <c r="E71" s="29" t="s">
        <v>14</v>
      </c>
      <c r="F71" s="29">
        <v>81593</v>
      </c>
      <c r="G71" s="29">
        <v>2011</v>
      </c>
      <c r="H71" s="39" t="s">
        <v>174</v>
      </c>
      <c r="I71" s="28" t="s">
        <v>175</v>
      </c>
      <c r="J71" s="17">
        <v>387.08311104286406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11">
        <f t="shared" ref="S71:U103" si="14">MAX(IF($R71=0,0,_xlfn.FORECAST.ETS(S$1,$J71:$R71,$J$1:$R$1)),0)</f>
        <v>0</v>
      </c>
      <c r="T71" s="11">
        <f t="shared" si="14"/>
        <v>0</v>
      </c>
      <c r="U71" s="11">
        <f t="shared" si="14"/>
        <v>0</v>
      </c>
      <c r="V71" s="32">
        <f t="shared" si="3"/>
        <v>387.08311104286406</v>
      </c>
      <c r="W71" s="33">
        <f t="shared" si="12"/>
        <v>0</v>
      </c>
      <c r="X71" s="33">
        <f t="shared" si="11"/>
        <v>0</v>
      </c>
      <c r="Y71" s="33">
        <f t="shared" si="11"/>
        <v>0</v>
      </c>
      <c r="Z71" s="33">
        <f t="shared" si="11"/>
        <v>0</v>
      </c>
      <c r="AA71" s="33">
        <f t="shared" si="11"/>
        <v>0</v>
      </c>
      <c r="AB71" s="33">
        <f t="shared" si="11"/>
        <v>0</v>
      </c>
      <c r="AC71" s="33">
        <f t="shared" si="11"/>
        <v>0</v>
      </c>
      <c r="AD71" s="33">
        <f t="shared" si="11"/>
        <v>0</v>
      </c>
      <c r="AE71" s="33">
        <f t="shared" si="11"/>
        <v>0</v>
      </c>
      <c r="AF71" s="33">
        <f t="shared" si="11"/>
        <v>0</v>
      </c>
      <c r="AG71" s="33">
        <f t="shared" si="11"/>
        <v>0</v>
      </c>
      <c r="AH71" s="33">
        <f t="shared" si="11"/>
        <v>0</v>
      </c>
      <c r="AI71" s="38">
        <f t="shared" si="13"/>
        <v>0</v>
      </c>
    </row>
    <row r="72" spans="1:35">
      <c r="A72" s="3">
        <v>858</v>
      </c>
      <c r="B72" s="1" t="s">
        <v>176</v>
      </c>
      <c r="C72" s="1" t="s">
        <v>12</v>
      </c>
      <c r="D72" s="1" t="s">
        <v>23</v>
      </c>
      <c r="E72" s="4" t="s">
        <v>14</v>
      </c>
      <c r="F72" s="4">
        <v>81593</v>
      </c>
      <c r="G72" s="4">
        <v>2004</v>
      </c>
      <c r="H72" s="4"/>
      <c r="I72" s="1" t="s">
        <v>177</v>
      </c>
      <c r="J72" s="17">
        <v>150.76092967139033</v>
      </c>
      <c r="K72" s="24">
        <v>152.76423433394527</v>
      </c>
      <c r="L72" s="24">
        <v>144.32</v>
      </c>
      <c r="M72" s="24">
        <v>214.64</v>
      </c>
      <c r="N72" s="25">
        <v>261.53820647548639</v>
      </c>
      <c r="O72" s="24">
        <v>240.11507034051226</v>
      </c>
      <c r="P72" s="24">
        <v>376.54</v>
      </c>
      <c r="Q72" s="24">
        <v>212.62</v>
      </c>
      <c r="R72" s="24">
        <v>171.27</v>
      </c>
      <c r="S72" s="11">
        <f t="shared" si="14"/>
        <v>264.30164808754836</v>
      </c>
      <c r="T72" s="11">
        <f t="shared" si="14"/>
        <v>276.94219958657555</v>
      </c>
      <c r="U72" s="11">
        <f t="shared" si="14"/>
        <v>289.58275108560275</v>
      </c>
      <c r="V72" s="32">
        <f t="shared" si="3"/>
        <v>2755.3950395810612</v>
      </c>
      <c r="W72" s="33">
        <f t="shared" si="12"/>
        <v>302.22330258462989</v>
      </c>
      <c r="X72" s="33">
        <f t="shared" si="11"/>
        <v>314.86385408365709</v>
      </c>
      <c r="Y72" s="33">
        <f t="shared" si="11"/>
        <v>327.50440558268429</v>
      </c>
      <c r="Z72" s="33">
        <f t="shared" si="11"/>
        <v>340.14495708171148</v>
      </c>
      <c r="AA72" s="33">
        <f t="shared" si="11"/>
        <v>352.78550858073868</v>
      </c>
      <c r="AB72" s="33">
        <f t="shared" si="11"/>
        <v>365.42606007976582</v>
      </c>
      <c r="AC72" s="33">
        <f t="shared" si="11"/>
        <v>378.06661157879302</v>
      </c>
      <c r="AD72" s="33">
        <f t="shared" si="11"/>
        <v>390.70716307782016</v>
      </c>
      <c r="AE72" s="33">
        <f t="shared" si="11"/>
        <v>403.34771457684735</v>
      </c>
      <c r="AF72" s="33">
        <f t="shared" si="11"/>
        <v>415.98826607587455</v>
      </c>
      <c r="AG72" s="33">
        <f t="shared" si="11"/>
        <v>428.62881757490175</v>
      </c>
      <c r="AH72" s="33">
        <f t="shared" si="11"/>
        <v>441.26936907392894</v>
      </c>
      <c r="AI72" s="38">
        <f t="shared" si="13"/>
        <v>4460.9560299513532</v>
      </c>
    </row>
    <row r="73" spans="1:35" s="9" customFormat="1">
      <c r="A73" s="3">
        <v>979</v>
      </c>
      <c r="B73" s="1" t="s">
        <v>178</v>
      </c>
      <c r="C73" s="1" t="s">
        <v>136</v>
      </c>
      <c r="D73" s="1" t="s">
        <v>28</v>
      </c>
      <c r="E73" s="4" t="s">
        <v>14</v>
      </c>
      <c r="F73" s="4">
        <v>81593</v>
      </c>
      <c r="G73" s="4">
        <v>2005</v>
      </c>
      <c r="H73" s="4"/>
      <c r="I73" s="7" t="s">
        <v>179</v>
      </c>
      <c r="J73" s="17">
        <v>202.03798183652876</v>
      </c>
      <c r="K73" s="24">
        <v>795.90551100057451</v>
      </c>
      <c r="L73" s="24">
        <v>1171.52</v>
      </c>
      <c r="M73" s="24">
        <v>1278.56</v>
      </c>
      <c r="N73" s="25">
        <v>1482.00902236757</v>
      </c>
      <c r="O73" s="24">
        <v>1500.2370738792581</v>
      </c>
      <c r="P73" s="24">
        <v>1371.15</v>
      </c>
      <c r="Q73" s="24">
        <v>1433.34</v>
      </c>
      <c r="R73" s="24">
        <v>1389.04</v>
      </c>
      <c r="S73" s="11">
        <f t="shared" si="14"/>
        <v>1381.3566157321095</v>
      </c>
      <c r="T73" s="11">
        <f t="shared" si="14"/>
        <v>1373.5281675580177</v>
      </c>
      <c r="U73" s="11">
        <f t="shared" si="14"/>
        <v>1365.6997193839256</v>
      </c>
      <c r="V73" s="32">
        <f t="shared" si="3"/>
        <v>14744.384091757982</v>
      </c>
      <c r="W73" s="33">
        <f t="shared" si="12"/>
        <v>1357.8712712098336</v>
      </c>
      <c r="X73" s="33">
        <f t="shared" si="11"/>
        <v>1350.0428230357418</v>
      </c>
      <c r="Y73" s="33">
        <f t="shared" si="11"/>
        <v>1342.2143748616497</v>
      </c>
      <c r="Z73" s="33">
        <f t="shared" si="11"/>
        <v>1334.3859266875577</v>
      </c>
      <c r="AA73" s="33">
        <f t="shared" si="11"/>
        <v>1326.5574785134659</v>
      </c>
      <c r="AB73" s="33">
        <f t="shared" si="11"/>
        <v>1318.7290303393738</v>
      </c>
      <c r="AC73" s="33">
        <f t="shared" si="11"/>
        <v>1310.9005821652818</v>
      </c>
      <c r="AD73" s="33">
        <f t="shared" si="11"/>
        <v>1303.0721339911897</v>
      </c>
      <c r="AE73" s="33">
        <f t="shared" si="11"/>
        <v>1295.2436858170979</v>
      </c>
      <c r="AF73" s="33">
        <f t="shared" si="11"/>
        <v>1287.4152376430059</v>
      </c>
      <c r="AG73" s="33">
        <f t="shared" si="11"/>
        <v>1279.5867894689138</v>
      </c>
      <c r="AH73" s="33">
        <f t="shared" si="11"/>
        <v>1271.758341294822</v>
      </c>
      <c r="AI73" s="38">
        <f t="shared" si="13"/>
        <v>15777.777675027937</v>
      </c>
    </row>
    <row r="74" spans="1:35">
      <c r="A74" s="3">
        <v>483</v>
      </c>
      <c r="B74" s="1" t="s">
        <v>180</v>
      </c>
      <c r="C74" s="1" t="s">
        <v>27</v>
      </c>
      <c r="D74" s="1" t="s">
        <v>28</v>
      </c>
      <c r="E74" s="4" t="s">
        <v>14</v>
      </c>
      <c r="F74" s="4">
        <v>81593</v>
      </c>
      <c r="G74" s="4">
        <v>2005</v>
      </c>
      <c r="H74" s="4"/>
      <c r="I74" s="1" t="s">
        <v>181</v>
      </c>
      <c r="J74" s="17">
        <v>3149.8821532926772</v>
      </c>
      <c r="K74" s="24">
        <v>3262.88105692927</v>
      </c>
      <c r="L74" s="24">
        <v>3558.79</v>
      </c>
      <c r="M74" s="24">
        <v>5150.59</v>
      </c>
      <c r="N74" s="25">
        <v>5916.1183060291369</v>
      </c>
      <c r="O74" s="24">
        <v>4817.8576749761578</v>
      </c>
      <c r="P74" s="24">
        <v>5301.91</v>
      </c>
      <c r="Q74" s="24">
        <v>5734.48</v>
      </c>
      <c r="R74" s="24">
        <v>5187.26</v>
      </c>
      <c r="S74" s="11">
        <f t="shared" si="14"/>
        <v>6128.3537771800284</v>
      </c>
      <c r="T74" s="11">
        <f t="shared" si="14"/>
        <v>6441.921869790227</v>
      </c>
      <c r="U74" s="11">
        <f t="shared" si="14"/>
        <v>6755.4899624004256</v>
      </c>
      <c r="V74" s="32">
        <f t="shared" ref="V74:V137" si="15">SUM(J74:U74)</f>
        <v>61405.534800597918</v>
      </c>
      <c r="W74" s="33">
        <f t="shared" si="12"/>
        <v>7069.0580550106242</v>
      </c>
      <c r="X74" s="33">
        <f t="shared" si="11"/>
        <v>7382.6261476208228</v>
      </c>
      <c r="Y74" s="33">
        <f t="shared" si="11"/>
        <v>7696.1942402310215</v>
      </c>
      <c r="Z74" s="33">
        <f t="shared" si="11"/>
        <v>8009.7623328412201</v>
      </c>
      <c r="AA74" s="33">
        <f t="shared" si="11"/>
        <v>8323.3304254514187</v>
      </c>
      <c r="AB74" s="33">
        <f t="shared" si="11"/>
        <v>8636.8985180616182</v>
      </c>
      <c r="AC74" s="33">
        <f t="shared" si="11"/>
        <v>8950.4666106718159</v>
      </c>
      <c r="AD74" s="33">
        <f t="shared" si="11"/>
        <v>9264.0347032820137</v>
      </c>
      <c r="AE74" s="33">
        <f t="shared" si="11"/>
        <v>9577.6027958922132</v>
      </c>
      <c r="AF74" s="33">
        <f t="shared" si="11"/>
        <v>9891.1708885024127</v>
      </c>
      <c r="AG74" s="33">
        <f t="shared" si="11"/>
        <v>10204.73898111261</v>
      </c>
      <c r="AH74" s="33">
        <f t="shared" si="11"/>
        <v>10518.307073722808</v>
      </c>
      <c r="AI74" s="38">
        <f t="shared" si="13"/>
        <v>105524.1907724006</v>
      </c>
    </row>
    <row r="75" spans="1:35" s="15" customFormat="1">
      <c r="A75" s="3">
        <v>1057</v>
      </c>
      <c r="B75" s="1" t="s">
        <v>182</v>
      </c>
      <c r="C75" s="1" t="s">
        <v>27</v>
      </c>
      <c r="D75" s="1" t="s">
        <v>34</v>
      </c>
      <c r="E75" s="4" t="s">
        <v>14</v>
      </c>
      <c r="F75" s="4">
        <v>81593</v>
      </c>
      <c r="G75" s="4">
        <v>2006</v>
      </c>
      <c r="H75" s="4"/>
      <c r="I75" s="44">
        <v>535002893491</v>
      </c>
      <c r="J75" s="17">
        <v>0</v>
      </c>
      <c r="K75" s="24">
        <v>0</v>
      </c>
      <c r="L75" s="24">
        <v>240.99</v>
      </c>
      <c r="M75" s="24">
        <v>1138.23</v>
      </c>
      <c r="N75" s="25">
        <v>1212.6038543911238</v>
      </c>
      <c r="O75" s="24">
        <v>1652.7677831616904</v>
      </c>
      <c r="P75" s="24">
        <v>1759.66</v>
      </c>
      <c r="Q75" s="24">
        <v>1884.66</v>
      </c>
      <c r="R75" s="24">
        <v>1917.71</v>
      </c>
      <c r="S75" s="11">
        <f t="shared" si="14"/>
        <v>2529.3311836260623</v>
      </c>
      <c r="T75" s="11">
        <f t="shared" si="14"/>
        <v>2810.3002192625472</v>
      </c>
      <c r="U75" s="11">
        <f t="shared" si="14"/>
        <v>3091.2692548990321</v>
      </c>
      <c r="V75" s="32">
        <f t="shared" si="15"/>
        <v>18237.522295340452</v>
      </c>
      <c r="W75" s="33">
        <f t="shared" si="12"/>
        <v>3372.2382905355171</v>
      </c>
      <c r="X75" s="33">
        <f t="shared" si="11"/>
        <v>3653.207326172002</v>
      </c>
      <c r="Y75" s="33">
        <f t="shared" si="11"/>
        <v>3934.1763618084869</v>
      </c>
      <c r="Z75" s="33">
        <f t="shared" si="11"/>
        <v>4215.1453974449723</v>
      </c>
      <c r="AA75" s="33">
        <f t="shared" si="11"/>
        <v>4496.1144330814568</v>
      </c>
      <c r="AB75" s="33">
        <f t="shared" si="11"/>
        <v>4777.0834687179413</v>
      </c>
      <c r="AC75" s="33">
        <f t="shared" si="11"/>
        <v>5058.0525043544267</v>
      </c>
      <c r="AD75" s="33">
        <f t="shared" si="11"/>
        <v>5339.0215399909121</v>
      </c>
      <c r="AE75" s="33">
        <f t="shared" si="11"/>
        <v>5619.9905756273965</v>
      </c>
      <c r="AF75" s="33">
        <f t="shared" si="11"/>
        <v>5900.959611263881</v>
      </c>
      <c r="AG75" s="33">
        <f t="shared" si="11"/>
        <v>6181.9286469003664</v>
      </c>
      <c r="AH75" s="33">
        <f t="shared" si="11"/>
        <v>6462.8976825368518</v>
      </c>
      <c r="AI75" s="38">
        <f t="shared" si="13"/>
        <v>59010.81583843421</v>
      </c>
    </row>
    <row r="76" spans="1:35">
      <c r="A76" s="3">
        <v>688</v>
      </c>
      <c r="B76" s="1" t="s">
        <v>183</v>
      </c>
      <c r="C76" s="1" t="s">
        <v>27</v>
      </c>
      <c r="D76" s="1" t="s">
        <v>77</v>
      </c>
      <c r="E76" s="4" t="s">
        <v>14</v>
      </c>
      <c r="F76" s="4">
        <v>81593</v>
      </c>
      <c r="G76" s="4">
        <v>2008</v>
      </c>
      <c r="H76" s="4"/>
      <c r="I76" s="1" t="s">
        <v>184</v>
      </c>
      <c r="J76" s="17">
        <v>143256.36784912035</v>
      </c>
      <c r="K76" s="24">
        <v>155400.25156902839</v>
      </c>
      <c r="L76" s="24">
        <v>152128.51</v>
      </c>
      <c r="M76" s="24">
        <v>199810.98</v>
      </c>
      <c r="N76" s="25">
        <v>189149.14089639063</v>
      </c>
      <c r="O76" s="24">
        <v>245939.00716038386</v>
      </c>
      <c r="P76" s="24">
        <v>275761.65000000002</v>
      </c>
      <c r="Q76" s="24">
        <v>338589.64</v>
      </c>
      <c r="R76" s="24">
        <v>391709.43</v>
      </c>
      <c r="S76" s="11">
        <f t="shared" si="14"/>
        <v>445372.23394317442</v>
      </c>
      <c r="T76" s="11">
        <f t="shared" si="14"/>
        <v>502897.76588344155</v>
      </c>
      <c r="U76" s="11">
        <f t="shared" si="14"/>
        <v>560423.29782370874</v>
      </c>
      <c r="V76" s="32">
        <f t="shared" si="15"/>
        <v>3600438.2751252484</v>
      </c>
      <c r="W76" s="33">
        <f t="shared" si="12"/>
        <v>617948.82976397581</v>
      </c>
      <c r="X76" s="33">
        <f t="shared" si="11"/>
        <v>675474.36170424288</v>
      </c>
      <c r="Y76" s="33">
        <f t="shared" si="11"/>
        <v>732999.89364451007</v>
      </c>
      <c r="Z76" s="33">
        <f t="shared" si="11"/>
        <v>790525.42558477726</v>
      </c>
      <c r="AA76" s="33">
        <f t="shared" si="11"/>
        <v>848050.95752504433</v>
      </c>
      <c r="AB76" s="33">
        <f t="shared" si="11"/>
        <v>905576.4894653114</v>
      </c>
      <c r="AC76" s="33">
        <f t="shared" si="11"/>
        <v>963102.02140557859</v>
      </c>
      <c r="AD76" s="33">
        <f t="shared" si="11"/>
        <v>1020627.5533458457</v>
      </c>
      <c r="AE76" s="33">
        <f t="shared" si="11"/>
        <v>1078153.085286113</v>
      </c>
      <c r="AF76" s="33">
        <f t="shared" si="11"/>
        <v>1135678.6172263799</v>
      </c>
      <c r="AG76" s="33">
        <f t="shared" si="11"/>
        <v>1193204.1491666471</v>
      </c>
      <c r="AH76" s="33">
        <f t="shared" si="11"/>
        <v>1250729.6811069143</v>
      </c>
      <c r="AI76" s="38">
        <f t="shared" si="13"/>
        <v>11212071.06522534</v>
      </c>
    </row>
    <row r="77" spans="1:35" s="15" customFormat="1">
      <c r="A77" s="3">
        <v>1100</v>
      </c>
      <c r="B77" s="1" t="s">
        <v>185</v>
      </c>
      <c r="C77" s="1" t="s">
        <v>27</v>
      </c>
      <c r="D77" s="1" t="s">
        <v>28</v>
      </c>
      <c r="E77" s="45" t="s">
        <v>14</v>
      </c>
      <c r="F77" s="44">
        <v>81593</v>
      </c>
      <c r="G77" s="44">
        <v>2005</v>
      </c>
      <c r="H77" s="44"/>
      <c r="I77" s="44" t="s">
        <v>186</v>
      </c>
      <c r="J77" s="17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61.38</v>
      </c>
      <c r="Q77" s="24">
        <v>147.68</v>
      </c>
      <c r="R77" s="24">
        <v>156.97999999999999</v>
      </c>
      <c r="S77" s="11">
        <f t="shared" si="14"/>
        <v>177.2293380873933</v>
      </c>
      <c r="T77" s="11">
        <f t="shared" si="14"/>
        <v>197.12306984719413</v>
      </c>
      <c r="U77" s="11">
        <f t="shared" si="14"/>
        <v>217.01680160699499</v>
      </c>
      <c r="V77" s="32">
        <f t="shared" si="15"/>
        <v>957.40920954158241</v>
      </c>
      <c r="W77" s="33">
        <f t="shared" si="12"/>
        <v>236.91053336679585</v>
      </c>
      <c r="X77" s="33">
        <f t="shared" si="11"/>
        <v>256.80426512659665</v>
      </c>
      <c r="Y77" s="33">
        <f t="shared" si="11"/>
        <v>276.6979968863975</v>
      </c>
      <c r="Z77" s="33">
        <f t="shared" si="11"/>
        <v>296.59172864619836</v>
      </c>
      <c r="AA77" s="33">
        <f t="shared" si="11"/>
        <v>316.48546040599922</v>
      </c>
      <c r="AB77" s="33">
        <f t="shared" si="11"/>
        <v>336.37919216580008</v>
      </c>
      <c r="AC77" s="33">
        <f t="shared" si="11"/>
        <v>356.27292392560094</v>
      </c>
      <c r="AD77" s="33">
        <f t="shared" si="11"/>
        <v>376.16665568540179</v>
      </c>
      <c r="AE77" s="33">
        <f t="shared" si="11"/>
        <v>396.06038744520265</v>
      </c>
      <c r="AF77" s="33">
        <f t="shared" si="11"/>
        <v>415.95411920500351</v>
      </c>
      <c r="AG77" s="33">
        <f t="shared" si="11"/>
        <v>435.84785096480425</v>
      </c>
      <c r="AH77" s="33">
        <f t="shared" si="11"/>
        <v>455.74158272460511</v>
      </c>
      <c r="AI77" s="38">
        <f t="shared" si="13"/>
        <v>4155.9126965484065</v>
      </c>
    </row>
    <row r="78" spans="1:35">
      <c r="A78" s="27">
        <v>827</v>
      </c>
      <c r="B78" s="28" t="s">
        <v>187</v>
      </c>
      <c r="C78" s="28" t="s">
        <v>22</v>
      </c>
      <c r="D78" s="28" t="s">
        <v>28</v>
      </c>
      <c r="E78" s="29" t="s">
        <v>14</v>
      </c>
      <c r="F78" s="29">
        <v>81593</v>
      </c>
      <c r="G78" s="29">
        <v>2010</v>
      </c>
      <c r="H78" s="39" t="s">
        <v>188</v>
      </c>
      <c r="I78" s="28" t="s">
        <v>189</v>
      </c>
      <c r="J78" s="17">
        <v>862.82968213925324</v>
      </c>
      <c r="K78" s="24">
        <v>887.95548054077801</v>
      </c>
      <c r="L78" s="24">
        <v>856.42</v>
      </c>
      <c r="M78" s="24">
        <v>906.14</v>
      </c>
      <c r="N78" s="25">
        <v>891.90528114188294</v>
      </c>
      <c r="O78" s="24">
        <v>194.12122789129671</v>
      </c>
      <c r="P78" s="24">
        <v>0</v>
      </c>
      <c r="Q78" s="24">
        <v>0</v>
      </c>
      <c r="R78" s="24">
        <v>0</v>
      </c>
      <c r="S78" s="11">
        <f t="shared" si="14"/>
        <v>0</v>
      </c>
      <c r="T78" s="11">
        <f t="shared" si="14"/>
        <v>0</v>
      </c>
      <c r="U78" s="11">
        <f t="shared" si="14"/>
        <v>0</v>
      </c>
      <c r="V78" s="32">
        <f t="shared" si="15"/>
        <v>4599.3716717132102</v>
      </c>
      <c r="W78" s="33">
        <f t="shared" si="12"/>
        <v>0</v>
      </c>
      <c r="X78" s="33">
        <f t="shared" si="11"/>
        <v>0</v>
      </c>
      <c r="Y78" s="33">
        <f t="shared" si="11"/>
        <v>0</v>
      </c>
      <c r="Z78" s="33">
        <f t="shared" si="11"/>
        <v>0</v>
      </c>
      <c r="AA78" s="33">
        <f t="shared" si="11"/>
        <v>0</v>
      </c>
      <c r="AB78" s="33">
        <f t="shared" si="11"/>
        <v>0</v>
      </c>
      <c r="AC78" s="33">
        <f t="shared" si="11"/>
        <v>0</v>
      </c>
      <c r="AD78" s="33">
        <f t="shared" si="11"/>
        <v>0</v>
      </c>
      <c r="AE78" s="33">
        <f t="shared" si="11"/>
        <v>0</v>
      </c>
      <c r="AF78" s="33">
        <f t="shared" si="11"/>
        <v>0</v>
      </c>
      <c r="AG78" s="33">
        <f t="shared" si="11"/>
        <v>0</v>
      </c>
      <c r="AH78" s="33">
        <f t="shared" si="11"/>
        <v>0</v>
      </c>
      <c r="AI78" s="38">
        <f t="shared" si="13"/>
        <v>0</v>
      </c>
    </row>
    <row r="79" spans="1:35" s="43" customFormat="1">
      <c r="A79" s="16">
        <v>387</v>
      </c>
      <c r="B79" s="10" t="s">
        <v>190</v>
      </c>
      <c r="C79" s="10" t="s">
        <v>27</v>
      </c>
      <c r="D79" s="10" t="s">
        <v>44</v>
      </c>
      <c r="E79" s="47" t="s">
        <v>191</v>
      </c>
      <c r="F79" s="47">
        <v>526183</v>
      </c>
      <c r="G79" s="47">
        <v>67000</v>
      </c>
      <c r="H79" s="47"/>
      <c r="I79" s="23">
        <v>583621598929</v>
      </c>
      <c r="J79" s="17">
        <v>132.38999999999999</v>
      </c>
      <c r="K79" s="24">
        <v>128.49</v>
      </c>
      <c r="L79" s="24">
        <v>135.13999999999999</v>
      </c>
      <c r="M79" s="24">
        <v>131.69999999999999</v>
      </c>
      <c r="N79" s="25">
        <v>128.47</v>
      </c>
      <c r="O79" s="24">
        <v>135.37</v>
      </c>
      <c r="P79" s="24">
        <v>118.23</v>
      </c>
      <c r="Q79" s="24">
        <v>114.24</v>
      </c>
      <c r="R79" s="24">
        <v>114.7</v>
      </c>
      <c r="S79" s="11">
        <f t="shared" si="14"/>
        <v>113.72096093437449</v>
      </c>
      <c r="T79" s="11">
        <f t="shared" si="14"/>
        <v>111.33775056733201</v>
      </c>
      <c r="U79" s="11">
        <f t="shared" si="14"/>
        <v>108.95454020028951</v>
      </c>
      <c r="V79" s="32">
        <f t="shared" ref="V79" si="16">SUM(J79:U79)</f>
        <v>1472.7432517019961</v>
      </c>
      <c r="W79" s="33">
        <f t="shared" si="12"/>
        <v>106.57132983324703</v>
      </c>
      <c r="X79" s="33">
        <f t="shared" si="11"/>
        <v>104.18811946620455</v>
      </c>
      <c r="Y79" s="33">
        <f t="shared" si="11"/>
        <v>101.80490909916207</v>
      </c>
      <c r="Z79" s="33">
        <f t="shared" si="11"/>
        <v>99.42169873211958</v>
      </c>
      <c r="AA79" s="33">
        <f t="shared" si="11"/>
        <v>97.0384883650771</v>
      </c>
      <c r="AB79" s="33">
        <f t="shared" si="11"/>
        <v>94.65527799803462</v>
      </c>
      <c r="AC79" s="33">
        <f t="shared" si="11"/>
        <v>92.27206763099214</v>
      </c>
      <c r="AD79" s="33">
        <f t="shared" si="11"/>
        <v>89.88885726394966</v>
      </c>
      <c r="AE79" s="33">
        <f t="shared" si="11"/>
        <v>87.505646896907166</v>
      </c>
      <c r="AF79" s="33">
        <f t="shared" si="11"/>
        <v>85.122436529864686</v>
      </c>
      <c r="AG79" s="33">
        <f t="shared" si="11"/>
        <v>82.739226162822206</v>
      </c>
      <c r="AH79" s="33">
        <f t="shared" si="11"/>
        <v>80.356015795779712</v>
      </c>
      <c r="AI79" s="38">
        <f t="shared" si="13"/>
        <v>1121.5640737741605</v>
      </c>
    </row>
    <row r="80" spans="1:35" s="15" customFormat="1">
      <c r="A80" s="3">
        <v>1060</v>
      </c>
      <c r="B80" s="1" t="s">
        <v>192</v>
      </c>
      <c r="C80" s="1" t="s">
        <v>12</v>
      </c>
      <c r="D80" s="1" t="s">
        <v>19</v>
      </c>
      <c r="E80" s="4" t="s">
        <v>14</v>
      </c>
      <c r="F80" s="4">
        <v>81593</v>
      </c>
      <c r="G80" s="4">
        <v>1107</v>
      </c>
      <c r="H80" s="4"/>
      <c r="I80" s="44">
        <v>586794444785</v>
      </c>
      <c r="J80" s="17">
        <v>0</v>
      </c>
      <c r="K80" s="24">
        <v>0</v>
      </c>
      <c r="L80" s="24">
        <v>234</v>
      </c>
      <c r="M80" s="24">
        <v>396.83</v>
      </c>
      <c r="N80" s="25">
        <v>289.24093082711511</v>
      </c>
      <c r="O80" s="24">
        <v>150.4522547203201</v>
      </c>
      <c r="P80" s="24">
        <v>336.25</v>
      </c>
      <c r="Q80" s="24">
        <v>160.57</v>
      </c>
      <c r="R80" s="24">
        <v>159.28</v>
      </c>
      <c r="S80" s="11">
        <f t="shared" si="14"/>
        <v>192.28886908729362</v>
      </c>
      <c r="T80" s="11">
        <f t="shared" si="14"/>
        <v>210.27717401961789</v>
      </c>
      <c r="U80" s="11">
        <f t="shared" si="14"/>
        <v>228.26547895194204</v>
      </c>
      <c r="V80" s="32">
        <f t="shared" si="15"/>
        <v>2357.4547076062886</v>
      </c>
      <c r="W80" s="33">
        <f t="shared" si="12"/>
        <v>246.25378388426631</v>
      </c>
      <c r="X80" s="33">
        <f t="shared" si="11"/>
        <v>264.24208881659041</v>
      </c>
      <c r="Y80" s="33">
        <f t="shared" si="11"/>
        <v>282.23039374891476</v>
      </c>
      <c r="Z80" s="33">
        <f t="shared" si="11"/>
        <v>300.21869868123889</v>
      </c>
      <c r="AA80" s="33">
        <f t="shared" si="11"/>
        <v>318.20700361356319</v>
      </c>
      <c r="AB80" s="33">
        <f t="shared" si="11"/>
        <v>336.19530854588726</v>
      </c>
      <c r="AC80" s="33">
        <f t="shared" si="11"/>
        <v>354.18361347821161</v>
      </c>
      <c r="AD80" s="33">
        <f t="shared" si="11"/>
        <v>372.17191841053574</v>
      </c>
      <c r="AE80" s="33">
        <f t="shared" si="11"/>
        <v>390.16022334286004</v>
      </c>
      <c r="AF80" s="33">
        <f t="shared" si="11"/>
        <v>408.14852827518411</v>
      </c>
      <c r="AG80" s="33">
        <f t="shared" si="11"/>
        <v>426.13683320750846</v>
      </c>
      <c r="AH80" s="33">
        <f t="shared" si="11"/>
        <v>444.12513813983253</v>
      </c>
      <c r="AI80" s="38">
        <f t="shared" si="13"/>
        <v>4142.2735321445934</v>
      </c>
    </row>
    <row r="81" spans="1:35" s="15" customFormat="1">
      <c r="A81" s="3">
        <v>1094</v>
      </c>
      <c r="B81" s="1" t="s">
        <v>193</v>
      </c>
      <c r="C81" s="1" t="s">
        <v>12</v>
      </c>
      <c r="D81" s="1" t="s">
        <v>38</v>
      </c>
      <c r="E81" s="4" t="s">
        <v>39</v>
      </c>
      <c r="F81" s="5" t="s">
        <v>40</v>
      </c>
      <c r="G81" s="5" t="s">
        <v>41</v>
      </c>
      <c r="H81" s="5"/>
      <c r="I81" s="44" t="s">
        <v>194</v>
      </c>
      <c r="J81" s="17">
        <v>0</v>
      </c>
      <c r="K81" s="24">
        <v>0</v>
      </c>
      <c r="L81" s="24">
        <v>0</v>
      </c>
      <c r="M81" s="24">
        <v>0</v>
      </c>
      <c r="N81" s="24">
        <v>0</v>
      </c>
      <c r="O81" s="24">
        <v>47.054497096891396</v>
      </c>
      <c r="P81" s="24">
        <v>137.01</v>
      </c>
      <c r="Q81" s="24">
        <v>156.82</v>
      </c>
      <c r="R81" s="24">
        <v>157.06</v>
      </c>
      <c r="S81" s="11">
        <f t="shared" si="14"/>
        <v>183.00130114610235</v>
      </c>
      <c r="T81" s="11">
        <f t="shared" si="14"/>
        <v>206.63134611926171</v>
      </c>
      <c r="U81" s="11">
        <f t="shared" si="14"/>
        <v>230.26139109242104</v>
      </c>
      <c r="V81" s="32">
        <f t="shared" si="15"/>
        <v>1117.8385354546765</v>
      </c>
      <c r="W81" s="33">
        <f t="shared" si="12"/>
        <v>253.89143606558036</v>
      </c>
      <c r="X81" s="33">
        <f t="shared" si="11"/>
        <v>277.52148103873969</v>
      </c>
      <c r="Y81" s="33">
        <f t="shared" si="11"/>
        <v>301.15152601189902</v>
      </c>
      <c r="Z81" s="33">
        <f t="shared" si="11"/>
        <v>324.78157098505835</v>
      </c>
      <c r="AA81" s="33">
        <f t="shared" si="11"/>
        <v>348.41161595821768</v>
      </c>
      <c r="AB81" s="33">
        <f t="shared" si="11"/>
        <v>372.04166093137701</v>
      </c>
      <c r="AC81" s="33">
        <f t="shared" si="11"/>
        <v>395.67170590453634</v>
      </c>
      <c r="AD81" s="33">
        <f t="shared" si="11"/>
        <v>419.30175087769567</v>
      </c>
      <c r="AE81" s="33">
        <f t="shared" si="11"/>
        <v>442.93179585085511</v>
      </c>
      <c r="AF81" s="33">
        <f t="shared" si="11"/>
        <v>466.56184082401444</v>
      </c>
      <c r="AG81" s="33">
        <f t="shared" si="11"/>
        <v>490.19188579717377</v>
      </c>
      <c r="AH81" s="33">
        <f t="shared" si="11"/>
        <v>513.8219307703331</v>
      </c>
      <c r="AI81" s="38">
        <f t="shared" si="13"/>
        <v>4606.2802010154801</v>
      </c>
    </row>
    <row r="82" spans="1:35">
      <c r="A82" s="3">
        <v>586</v>
      </c>
      <c r="B82" s="1" t="s">
        <v>195</v>
      </c>
      <c r="C82" s="1" t="s">
        <v>12</v>
      </c>
      <c r="D82" s="1" t="s">
        <v>19</v>
      </c>
      <c r="E82" s="4" t="s">
        <v>14</v>
      </c>
      <c r="F82" s="4">
        <v>81593</v>
      </c>
      <c r="G82" s="4">
        <v>1107</v>
      </c>
      <c r="H82" s="4"/>
      <c r="I82" s="1" t="s">
        <v>196</v>
      </c>
      <c r="J82" s="17">
        <v>716.24767231167459</v>
      </c>
      <c r="K82" s="24">
        <v>668.17775612446781</v>
      </c>
      <c r="L82" s="24">
        <v>495.54</v>
      </c>
      <c r="M82" s="24">
        <v>581.86</v>
      </c>
      <c r="N82" s="25">
        <v>727.01540065484096</v>
      </c>
      <c r="O82" s="24">
        <v>868.63330171326572</v>
      </c>
      <c r="P82" s="24">
        <v>773.72</v>
      </c>
      <c r="Q82" s="24">
        <v>1022.66</v>
      </c>
      <c r="R82" s="24">
        <v>1314.29</v>
      </c>
      <c r="S82" s="11">
        <f t="shared" si="14"/>
        <v>1362.2994700375018</v>
      </c>
      <c r="T82" s="11">
        <f t="shared" si="14"/>
        <v>1433.9489531152335</v>
      </c>
      <c r="U82" s="11">
        <f t="shared" si="14"/>
        <v>1505.598436192965</v>
      </c>
      <c r="V82" s="32">
        <f t="shared" si="15"/>
        <v>11469.990990149949</v>
      </c>
      <c r="W82" s="33">
        <f t="shared" si="12"/>
        <v>1577.2479192706967</v>
      </c>
      <c r="X82" s="33">
        <f t="shared" si="11"/>
        <v>1648.8974023484284</v>
      </c>
      <c r="Y82" s="33">
        <f t="shared" si="11"/>
        <v>1720.5468854261601</v>
      </c>
      <c r="Z82" s="33">
        <f t="shared" si="11"/>
        <v>1792.1963685038918</v>
      </c>
      <c r="AA82" s="33">
        <f t="shared" si="11"/>
        <v>1863.8458515816233</v>
      </c>
      <c r="AB82" s="33">
        <f t="shared" si="11"/>
        <v>1935.4953346593552</v>
      </c>
      <c r="AC82" s="33">
        <f t="shared" si="11"/>
        <v>2007.1448177370867</v>
      </c>
      <c r="AD82" s="33">
        <f t="shared" si="11"/>
        <v>2078.7943008148186</v>
      </c>
      <c r="AE82" s="33">
        <f t="shared" si="11"/>
        <v>2150.4437838925501</v>
      </c>
      <c r="AF82" s="33">
        <f t="shared" ref="X82:AH105" si="17">MAX(IF($R82=0,0,_xlfn.FORECAST.ETS(AF$1,$J82:$R82,$J$1:$R$1)),0)</f>
        <v>2222.0932669702815</v>
      </c>
      <c r="AG82" s="33">
        <f t="shared" si="17"/>
        <v>2293.7427500480135</v>
      </c>
      <c r="AH82" s="33">
        <f t="shared" si="17"/>
        <v>2365.392233125745</v>
      </c>
      <c r="AI82" s="38">
        <f t="shared" si="13"/>
        <v>23655.840914378652</v>
      </c>
    </row>
    <row r="83" spans="1:35">
      <c r="A83" s="27">
        <v>579</v>
      </c>
      <c r="B83" s="28" t="s">
        <v>197</v>
      </c>
      <c r="C83" s="28" t="s">
        <v>22</v>
      </c>
      <c r="D83" s="28" t="s">
        <v>34</v>
      </c>
      <c r="E83" s="29" t="s">
        <v>14</v>
      </c>
      <c r="F83" s="29">
        <v>81593</v>
      </c>
      <c r="G83" s="29">
        <v>2011</v>
      </c>
      <c r="H83" s="39" t="s">
        <v>198</v>
      </c>
      <c r="I83" s="28" t="s">
        <v>199</v>
      </c>
      <c r="J83" s="17">
        <v>267.17369674900192</v>
      </c>
      <c r="K83" s="24">
        <v>125.16100772963885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11">
        <f t="shared" si="14"/>
        <v>0</v>
      </c>
      <c r="T83" s="11">
        <f t="shared" si="14"/>
        <v>0</v>
      </c>
      <c r="U83" s="11">
        <f t="shared" si="14"/>
        <v>0</v>
      </c>
      <c r="V83" s="32">
        <f t="shared" si="15"/>
        <v>392.33470447864079</v>
      </c>
      <c r="W83" s="33">
        <f t="shared" si="12"/>
        <v>0</v>
      </c>
      <c r="X83" s="33">
        <f t="shared" si="17"/>
        <v>0</v>
      </c>
      <c r="Y83" s="33">
        <f t="shared" si="17"/>
        <v>0</v>
      </c>
      <c r="Z83" s="33">
        <f t="shared" si="17"/>
        <v>0</v>
      </c>
      <c r="AA83" s="33">
        <f t="shared" si="17"/>
        <v>0</v>
      </c>
      <c r="AB83" s="33">
        <f t="shared" si="17"/>
        <v>0</v>
      </c>
      <c r="AC83" s="33">
        <f t="shared" si="17"/>
        <v>0</v>
      </c>
      <c r="AD83" s="33">
        <f t="shared" si="17"/>
        <v>0</v>
      </c>
      <c r="AE83" s="33">
        <f t="shared" si="17"/>
        <v>0</v>
      </c>
      <c r="AF83" s="33">
        <f t="shared" si="17"/>
        <v>0</v>
      </c>
      <c r="AG83" s="33">
        <f t="shared" si="17"/>
        <v>0</v>
      </c>
      <c r="AH83" s="33">
        <f t="shared" si="17"/>
        <v>0</v>
      </c>
      <c r="AI83" s="38">
        <f t="shared" si="13"/>
        <v>0</v>
      </c>
    </row>
    <row r="84" spans="1:35">
      <c r="A84" s="3">
        <v>910</v>
      </c>
      <c r="B84" s="1" t="s">
        <v>200</v>
      </c>
      <c r="C84" s="1" t="s">
        <v>27</v>
      </c>
      <c r="D84" s="1" t="s">
        <v>34</v>
      </c>
      <c r="E84" s="4" t="s">
        <v>14</v>
      </c>
      <c r="F84" s="4">
        <v>81593</v>
      </c>
      <c r="G84" s="4">
        <v>2006</v>
      </c>
      <c r="H84" s="4"/>
      <c r="I84" s="1" t="s">
        <v>201</v>
      </c>
      <c r="J84" s="17">
        <v>2249.8686129513444</v>
      </c>
      <c r="K84" s="24">
        <v>1359.1246983940607</v>
      </c>
      <c r="L84" s="24">
        <v>1180.46</v>
      </c>
      <c r="M84" s="24">
        <v>1252.6199999999999</v>
      </c>
      <c r="N84" s="25">
        <v>1244.4390293366416</v>
      </c>
      <c r="O84" s="24">
        <v>1272.6355856446585</v>
      </c>
      <c r="P84" s="24">
        <v>1268.51</v>
      </c>
      <c r="Q84" s="24">
        <v>1496.53</v>
      </c>
      <c r="R84" s="24">
        <v>1463.29</v>
      </c>
      <c r="S84" s="11">
        <f t="shared" si="14"/>
        <v>1416.7777352495582</v>
      </c>
      <c r="T84" s="11">
        <f t="shared" si="14"/>
        <v>1373.982598549725</v>
      </c>
      <c r="U84" s="11">
        <f t="shared" si="14"/>
        <v>1331.1874618498921</v>
      </c>
      <c r="V84" s="32">
        <f t="shared" si="15"/>
        <v>16909.42572197588</v>
      </c>
      <c r="W84" s="33">
        <f t="shared" si="12"/>
        <v>1288.3923251500592</v>
      </c>
      <c r="X84" s="33">
        <f t="shared" si="17"/>
        <v>1245.5971884502262</v>
      </c>
      <c r="Y84" s="33">
        <f t="shared" si="17"/>
        <v>1202.8020517503933</v>
      </c>
      <c r="Z84" s="33">
        <f t="shared" si="17"/>
        <v>1160.0069150505601</v>
      </c>
      <c r="AA84" s="33">
        <f t="shared" si="17"/>
        <v>1117.2117783507272</v>
      </c>
      <c r="AB84" s="33">
        <f t="shared" si="17"/>
        <v>1074.4166416508942</v>
      </c>
      <c r="AC84" s="33">
        <f t="shared" si="17"/>
        <v>1031.6215049510611</v>
      </c>
      <c r="AD84" s="33">
        <f t="shared" si="17"/>
        <v>988.82636825122813</v>
      </c>
      <c r="AE84" s="33">
        <f t="shared" si="17"/>
        <v>946.03123155139519</v>
      </c>
      <c r="AF84" s="33">
        <f t="shared" si="17"/>
        <v>903.23609485156226</v>
      </c>
      <c r="AG84" s="33">
        <f t="shared" si="17"/>
        <v>860.44095815172921</v>
      </c>
      <c r="AH84" s="33">
        <f t="shared" si="17"/>
        <v>817.64582145189615</v>
      </c>
      <c r="AI84" s="38">
        <f t="shared" si="13"/>
        <v>12636.228879611732</v>
      </c>
    </row>
    <row r="85" spans="1:35" s="15" customFormat="1">
      <c r="A85" s="3">
        <v>1069</v>
      </c>
      <c r="B85" s="1" t="s">
        <v>202</v>
      </c>
      <c r="C85" s="1" t="s">
        <v>27</v>
      </c>
      <c r="D85" s="1" t="s">
        <v>44</v>
      </c>
      <c r="E85" s="4" t="s">
        <v>14</v>
      </c>
      <c r="F85" s="4">
        <v>81593</v>
      </c>
      <c r="G85" s="4">
        <v>2008</v>
      </c>
      <c r="H85" s="4"/>
      <c r="I85" s="44" t="s">
        <v>203</v>
      </c>
      <c r="J85" s="17"/>
      <c r="K85" s="24">
        <v>0</v>
      </c>
      <c r="L85" s="24">
        <v>0</v>
      </c>
      <c r="M85" s="24">
        <v>0</v>
      </c>
      <c r="N85" s="25">
        <v>67.31302856268664</v>
      </c>
      <c r="O85" s="24">
        <v>2103.2245979246227</v>
      </c>
      <c r="P85" s="24">
        <v>2579.1</v>
      </c>
      <c r="Q85" s="24">
        <v>1034.3</v>
      </c>
      <c r="R85" s="24">
        <v>1083.96</v>
      </c>
      <c r="S85" s="11">
        <f t="shared" si="14"/>
        <v>2141.8560722696757</v>
      </c>
      <c r="T85" s="11">
        <f t="shared" si="14"/>
        <v>2409.4724591648965</v>
      </c>
      <c r="U85" s="11">
        <f t="shared" si="14"/>
        <v>2677.0888460601168</v>
      </c>
      <c r="V85" s="32">
        <f t="shared" si="15"/>
        <v>14096.315003981996</v>
      </c>
      <c r="W85" s="33">
        <f t="shared" si="12"/>
        <v>2944.7052329553371</v>
      </c>
      <c r="X85" s="33">
        <f t="shared" si="17"/>
        <v>3212.3216198505579</v>
      </c>
      <c r="Y85" s="33">
        <f t="shared" si="17"/>
        <v>3479.9380067457782</v>
      </c>
      <c r="Z85" s="33">
        <f t="shared" si="17"/>
        <v>3747.5543936409986</v>
      </c>
      <c r="AA85" s="33">
        <f t="shared" si="17"/>
        <v>4015.1707805362194</v>
      </c>
      <c r="AB85" s="33">
        <f t="shared" si="17"/>
        <v>4282.7871674314392</v>
      </c>
      <c r="AC85" s="33">
        <f t="shared" si="17"/>
        <v>4550.40355432666</v>
      </c>
      <c r="AD85" s="33">
        <f t="shared" si="17"/>
        <v>4818.0199412218808</v>
      </c>
      <c r="AE85" s="33">
        <f t="shared" si="17"/>
        <v>5085.6363281171016</v>
      </c>
      <c r="AF85" s="33">
        <f t="shared" si="17"/>
        <v>5353.2527150123224</v>
      </c>
      <c r="AG85" s="33">
        <f t="shared" si="17"/>
        <v>5620.8691019075422</v>
      </c>
      <c r="AH85" s="33">
        <f t="shared" si="17"/>
        <v>5888.485488802763</v>
      </c>
      <c r="AI85" s="38">
        <f t="shared" si="13"/>
        <v>52999.144330548595</v>
      </c>
    </row>
    <row r="86" spans="1:35" s="9" customFormat="1">
      <c r="A86" s="3">
        <v>964</v>
      </c>
      <c r="B86" s="1" t="s">
        <v>204</v>
      </c>
      <c r="C86" s="1" t="s">
        <v>27</v>
      </c>
      <c r="D86" s="1" t="s">
        <v>44</v>
      </c>
      <c r="E86" s="45" t="s">
        <v>14</v>
      </c>
      <c r="F86" s="44">
        <v>81593</v>
      </c>
      <c r="G86" s="44">
        <v>2004</v>
      </c>
      <c r="H86" s="44"/>
      <c r="I86" s="7" t="s">
        <v>205</v>
      </c>
      <c r="J86" s="17">
        <v>2377.8586936778838</v>
      </c>
      <c r="K86" s="24">
        <v>2187.6278981547771</v>
      </c>
      <c r="L86" s="24">
        <v>2983.28</v>
      </c>
      <c r="M86" s="24">
        <v>5935.75</v>
      </c>
      <c r="N86" s="25">
        <v>9011.0687113094336</v>
      </c>
      <c r="O86" s="24">
        <v>10241.820555840848</v>
      </c>
      <c r="P86" s="24">
        <v>8766.15</v>
      </c>
      <c r="Q86" s="24">
        <v>9317.06</v>
      </c>
      <c r="R86" s="24">
        <v>9184.7800000000007</v>
      </c>
      <c r="S86" s="11">
        <f t="shared" si="14"/>
        <v>10386.134547948459</v>
      </c>
      <c r="T86" s="11">
        <f t="shared" si="14"/>
        <v>11459.081081203158</v>
      </c>
      <c r="U86" s="11">
        <f t="shared" si="14"/>
        <v>12532.027614457857</v>
      </c>
      <c r="V86" s="32">
        <f t="shared" si="15"/>
        <v>94382.639102592409</v>
      </c>
      <c r="W86" s="33">
        <f t="shared" si="12"/>
        <v>13604.974147712554</v>
      </c>
      <c r="X86" s="33">
        <f t="shared" si="17"/>
        <v>14677.920680967251</v>
      </c>
      <c r="Y86" s="33">
        <f t="shared" si="17"/>
        <v>15750.867214221949</v>
      </c>
      <c r="Z86" s="33">
        <f t="shared" si="17"/>
        <v>16823.813747476648</v>
      </c>
      <c r="AA86" s="33">
        <f t="shared" si="17"/>
        <v>17896.760280731345</v>
      </c>
      <c r="AB86" s="33">
        <f t="shared" si="17"/>
        <v>18969.706813986042</v>
      </c>
      <c r="AC86" s="33">
        <f t="shared" si="17"/>
        <v>20042.653347240739</v>
      </c>
      <c r="AD86" s="33">
        <f t="shared" si="17"/>
        <v>21115.59988049544</v>
      </c>
      <c r="AE86" s="33">
        <f t="shared" si="17"/>
        <v>22188.546413750137</v>
      </c>
      <c r="AF86" s="33">
        <f t="shared" si="17"/>
        <v>23261.492947004834</v>
      </c>
      <c r="AG86" s="33">
        <f t="shared" si="17"/>
        <v>24334.439480259534</v>
      </c>
      <c r="AH86" s="33">
        <f t="shared" si="17"/>
        <v>25407.386013514231</v>
      </c>
      <c r="AI86" s="38">
        <f t="shared" si="13"/>
        <v>234074.16096736066</v>
      </c>
    </row>
    <row r="87" spans="1:35">
      <c r="A87" s="3">
        <v>545</v>
      </c>
      <c r="B87" s="1" t="s">
        <v>206</v>
      </c>
      <c r="C87" s="1" t="s">
        <v>12</v>
      </c>
      <c r="D87" s="1" t="s">
        <v>34</v>
      </c>
      <c r="E87" s="4" t="s">
        <v>14</v>
      </c>
      <c r="F87" s="4">
        <v>81593</v>
      </c>
      <c r="G87" s="4">
        <v>2006</v>
      </c>
      <c r="H87" s="4"/>
      <c r="I87" s="1" t="s">
        <v>207</v>
      </c>
      <c r="J87" s="17">
        <v>300.24259816610362</v>
      </c>
      <c r="K87" s="24">
        <v>310.69404730015708</v>
      </c>
      <c r="L87" s="24">
        <v>567.05999999999995</v>
      </c>
      <c r="M87" s="24">
        <v>525.52</v>
      </c>
      <c r="N87" s="25">
        <v>536.49412290397163</v>
      </c>
      <c r="O87" s="24">
        <v>680.28674912598194</v>
      </c>
      <c r="P87" s="24">
        <v>1133.3699999999999</v>
      </c>
      <c r="Q87" s="24">
        <v>1068.19</v>
      </c>
      <c r="R87" s="24">
        <v>694.96</v>
      </c>
      <c r="S87" s="11">
        <f t="shared" si="14"/>
        <v>1071.2798018131375</v>
      </c>
      <c r="T87" s="11">
        <f t="shared" si="14"/>
        <v>1156.9574569781123</v>
      </c>
      <c r="U87" s="11">
        <f t="shared" si="14"/>
        <v>1242.6351121430871</v>
      </c>
      <c r="V87" s="32">
        <f t="shared" si="15"/>
        <v>9287.6898884305501</v>
      </c>
      <c r="W87" s="33">
        <f t="shared" si="12"/>
        <v>1328.3127673080621</v>
      </c>
      <c r="X87" s="33">
        <f t="shared" si="17"/>
        <v>1413.9904224730369</v>
      </c>
      <c r="Y87" s="33">
        <f t="shared" si="17"/>
        <v>1499.6680776380117</v>
      </c>
      <c r="Z87" s="33">
        <f t="shared" si="17"/>
        <v>1585.3457328029867</v>
      </c>
      <c r="AA87" s="33">
        <f t="shared" si="17"/>
        <v>1671.0233879679613</v>
      </c>
      <c r="AB87" s="33">
        <f t="shared" si="17"/>
        <v>1756.7010431329363</v>
      </c>
      <c r="AC87" s="33">
        <f t="shared" si="17"/>
        <v>1842.3786982979111</v>
      </c>
      <c r="AD87" s="33">
        <f t="shared" si="17"/>
        <v>1928.0563534628859</v>
      </c>
      <c r="AE87" s="33">
        <f t="shared" si="17"/>
        <v>2013.7340086278607</v>
      </c>
      <c r="AF87" s="33">
        <f t="shared" si="17"/>
        <v>2099.4116637928355</v>
      </c>
      <c r="AG87" s="33">
        <f t="shared" si="17"/>
        <v>2185.0893189578105</v>
      </c>
      <c r="AH87" s="33">
        <f t="shared" si="17"/>
        <v>2270.7669741227855</v>
      </c>
      <c r="AI87" s="38">
        <f t="shared" si="13"/>
        <v>21594.478448585083</v>
      </c>
    </row>
    <row r="88" spans="1:35">
      <c r="A88" s="3">
        <v>729</v>
      </c>
      <c r="B88" s="1" t="s">
        <v>208</v>
      </c>
      <c r="C88" s="1" t="s">
        <v>27</v>
      </c>
      <c r="D88" s="1" t="s">
        <v>34</v>
      </c>
      <c r="E88" s="4" t="s">
        <v>14</v>
      </c>
      <c r="F88" s="4">
        <v>81593</v>
      </c>
      <c r="G88" s="4">
        <v>2006</v>
      </c>
      <c r="H88" s="4"/>
      <c r="I88" s="1" t="s">
        <v>209</v>
      </c>
      <c r="J88" s="17">
        <v>1086.316609704734</v>
      </c>
      <c r="K88" s="24">
        <v>1075.1569057565002</v>
      </c>
      <c r="L88" s="24">
        <v>1015.08</v>
      </c>
      <c r="M88" s="24">
        <v>2558.2399999999998</v>
      </c>
      <c r="N88" s="25">
        <v>882.96694356102603</v>
      </c>
      <c r="O88" s="24">
        <v>790.58411880095844</v>
      </c>
      <c r="P88" s="24">
        <v>800.44</v>
      </c>
      <c r="Q88" s="24">
        <v>832.49</v>
      </c>
      <c r="R88" s="24">
        <v>816.23</v>
      </c>
      <c r="S88" s="11">
        <f t="shared" si="14"/>
        <v>659.64245295110811</v>
      </c>
      <c r="T88" s="11">
        <f t="shared" si="14"/>
        <v>594.53099379953142</v>
      </c>
      <c r="U88" s="11">
        <f t="shared" si="14"/>
        <v>529.41953464795574</v>
      </c>
      <c r="V88" s="32">
        <f t="shared" si="15"/>
        <v>11641.097559221813</v>
      </c>
      <c r="W88" s="33">
        <f t="shared" si="12"/>
        <v>464.30807549637916</v>
      </c>
      <c r="X88" s="33">
        <f t="shared" si="17"/>
        <v>399.19661634480332</v>
      </c>
      <c r="Y88" s="33">
        <f t="shared" si="17"/>
        <v>334.08515719322685</v>
      </c>
      <c r="Z88" s="33">
        <f t="shared" si="17"/>
        <v>268.97369804165101</v>
      </c>
      <c r="AA88" s="33">
        <f t="shared" si="17"/>
        <v>203.86223889007448</v>
      </c>
      <c r="AB88" s="33">
        <f t="shared" si="17"/>
        <v>138.75077973849869</v>
      </c>
      <c r="AC88" s="33">
        <f t="shared" si="17"/>
        <v>73.639320586922096</v>
      </c>
      <c r="AD88" s="33">
        <f t="shared" si="17"/>
        <v>8.5278614353463364</v>
      </c>
      <c r="AE88" s="33">
        <f t="shared" si="17"/>
        <v>0</v>
      </c>
      <c r="AF88" s="33">
        <f t="shared" si="17"/>
        <v>0</v>
      </c>
      <c r="AG88" s="33">
        <f t="shared" si="17"/>
        <v>0</v>
      </c>
      <c r="AH88" s="33">
        <f t="shared" si="17"/>
        <v>0</v>
      </c>
      <c r="AI88" s="38">
        <f t="shared" si="13"/>
        <v>1891.3437477269019</v>
      </c>
    </row>
    <row r="89" spans="1:35">
      <c r="A89" s="3">
        <v>922</v>
      </c>
      <c r="B89" s="1" t="s">
        <v>210</v>
      </c>
      <c r="C89" s="1" t="s">
        <v>27</v>
      </c>
      <c r="D89" s="1" t="s">
        <v>34</v>
      </c>
      <c r="E89" s="4" t="s">
        <v>14</v>
      </c>
      <c r="F89" s="4">
        <v>81593</v>
      </c>
      <c r="G89" s="4">
        <v>2006</v>
      </c>
      <c r="H89" s="4"/>
      <c r="I89" s="1" t="s">
        <v>211</v>
      </c>
      <c r="J89" s="17">
        <v>317.34205589435356</v>
      </c>
      <c r="K89" s="24">
        <v>319.91294746788748</v>
      </c>
      <c r="L89" s="24">
        <v>298.91000000000003</v>
      </c>
      <c r="M89" s="24">
        <v>330.46</v>
      </c>
      <c r="N89" s="25">
        <v>348.08498656775686</v>
      </c>
      <c r="O89" s="24">
        <v>328.92079129591588</v>
      </c>
      <c r="P89" s="24">
        <v>321.31</v>
      </c>
      <c r="Q89" s="24">
        <v>350.74</v>
      </c>
      <c r="R89" s="24">
        <v>298.83999999999997</v>
      </c>
      <c r="S89" s="11">
        <f t="shared" si="14"/>
        <v>335.41889831129282</v>
      </c>
      <c r="T89" s="11">
        <f t="shared" si="14"/>
        <v>346.28817333444141</v>
      </c>
      <c r="U89" s="11">
        <f t="shared" si="14"/>
        <v>310.430084763862</v>
      </c>
      <c r="V89" s="32">
        <f t="shared" si="15"/>
        <v>3906.6579376355103</v>
      </c>
      <c r="W89" s="33">
        <f t="shared" si="12"/>
        <v>339.73375289291181</v>
      </c>
      <c r="X89" s="33">
        <f t="shared" si="17"/>
        <v>350.6030279160604</v>
      </c>
      <c r="Y89" s="33">
        <f t="shared" si="17"/>
        <v>314.74493934548099</v>
      </c>
      <c r="Z89" s="33">
        <f t="shared" si="17"/>
        <v>344.04860747453085</v>
      </c>
      <c r="AA89" s="33">
        <f t="shared" si="17"/>
        <v>354.91788249767944</v>
      </c>
      <c r="AB89" s="33">
        <f t="shared" si="17"/>
        <v>319.05979392710003</v>
      </c>
      <c r="AC89" s="33">
        <f t="shared" si="17"/>
        <v>348.3634620561499</v>
      </c>
      <c r="AD89" s="33">
        <f t="shared" si="17"/>
        <v>359.23273707929843</v>
      </c>
      <c r="AE89" s="33">
        <f t="shared" si="17"/>
        <v>323.37464850871902</v>
      </c>
      <c r="AF89" s="33">
        <f t="shared" si="17"/>
        <v>352.67831663776889</v>
      </c>
      <c r="AG89" s="33">
        <f t="shared" si="17"/>
        <v>363.54759166091748</v>
      </c>
      <c r="AH89" s="33">
        <f t="shared" si="17"/>
        <v>327.68950309033806</v>
      </c>
      <c r="AI89" s="38">
        <f t="shared" si="13"/>
        <v>4097.9942630869555</v>
      </c>
    </row>
    <row r="90" spans="1:35" s="15" customFormat="1">
      <c r="A90" s="3">
        <v>1071</v>
      </c>
      <c r="B90" s="1" t="s">
        <v>212</v>
      </c>
      <c r="C90" s="1" t="s">
        <v>27</v>
      </c>
      <c r="D90" s="1" t="s">
        <v>28</v>
      </c>
      <c r="E90" s="4" t="s">
        <v>14</v>
      </c>
      <c r="F90" s="4">
        <v>81593</v>
      </c>
      <c r="G90" s="4">
        <v>2005</v>
      </c>
      <c r="H90" s="4"/>
      <c r="I90" s="44" t="s">
        <v>213</v>
      </c>
      <c r="J90" s="17">
        <v>0</v>
      </c>
      <c r="K90" s="24">
        <v>0</v>
      </c>
      <c r="L90" s="24">
        <v>0</v>
      </c>
      <c r="M90" s="24">
        <v>79.819999999999993</v>
      </c>
      <c r="N90" s="25">
        <v>139.21766889636146</v>
      </c>
      <c r="O90" s="24">
        <v>149.11304430658799</v>
      </c>
      <c r="P90" s="24">
        <v>146.13</v>
      </c>
      <c r="Q90" s="24">
        <v>157.22999999999999</v>
      </c>
      <c r="R90" s="24">
        <v>157</v>
      </c>
      <c r="S90" s="11">
        <f t="shared" si="14"/>
        <v>218.8570825616147</v>
      </c>
      <c r="T90" s="11">
        <f t="shared" si="14"/>
        <v>243.16430026469573</v>
      </c>
      <c r="U90" s="11">
        <f t="shared" si="14"/>
        <v>267.47151796777678</v>
      </c>
      <c r="V90" s="32">
        <f t="shared" si="15"/>
        <v>1558.0036139970366</v>
      </c>
      <c r="W90" s="33">
        <f t="shared" si="12"/>
        <v>291.77873567085777</v>
      </c>
      <c r="X90" s="33">
        <f t="shared" si="17"/>
        <v>316.08595337393876</v>
      </c>
      <c r="Y90" s="33">
        <f t="shared" si="17"/>
        <v>340.39317107701982</v>
      </c>
      <c r="Z90" s="33">
        <f t="shared" si="17"/>
        <v>364.70038878010087</v>
      </c>
      <c r="AA90" s="33">
        <f t="shared" si="17"/>
        <v>389.00760648318186</v>
      </c>
      <c r="AB90" s="33">
        <f t="shared" si="17"/>
        <v>413.31482418626285</v>
      </c>
      <c r="AC90" s="33">
        <f t="shared" si="17"/>
        <v>437.6220418893439</v>
      </c>
      <c r="AD90" s="33">
        <f t="shared" si="17"/>
        <v>461.9292595924249</v>
      </c>
      <c r="AE90" s="33">
        <f t="shared" si="17"/>
        <v>486.23647729550595</v>
      </c>
      <c r="AF90" s="33">
        <f t="shared" si="17"/>
        <v>510.543694998587</v>
      </c>
      <c r="AG90" s="33">
        <f t="shared" si="17"/>
        <v>534.85091270166799</v>
      </c>
      <c r="AH90" s="33">
        <f t="shared" si="17"/>
        <v>559.15813040474904</v>
      </c>
      <c r="AI90" s="38">
        <f t="shared" si="13"/>
        <v>5105.6211964536415</v>
      </c>
    </row>
    <row r="91" spans="1:35" s="15" customFormat="1">
      <c r="A91" s="3">
        <v>1037</v>
      </c>
      <c r="B91" s="1" t="s">
        <v>214</v>
      </c>
      <c r="C91" s="1" t="s">
        <v>27</v>
      </c>
      <c r="D91" s="1" t="s">
        <v>44</v>
      </c>
      <c r="E91" s="45" t="s">
        <v>14</v>
      </c>
      <c r="F91" s="44">
        <v>81593</v>
      </c>
      <c r="G91" s="44">
        <v>2004</v>
      </c>
      <c r="H91" s="44"/>
      <c r="I91" s="44" t="s">
        <v>215</v>
      </c>
      <c r="J91" s="17">
        <v>115.01624029307243</v>
      </c>
      <c r="K91" s="24">
        <v>681.5034517265467</v>
      </c>
      <c r="L91" s="24">
        <v>2893.02</v>
      </c>
      <c r="M91" s="24">
        <v>4015.95</v>
      </c>
      <c r="N91" s="25">
        <v>2601.0970503562344</v>
      </c>
      <c r="O91" s="24">
        <v>2789.8002791534905</v>
      </c>
      <c r="P91" s="24">
        <v>3331.34</v>
      </c>
      <c r="Q91" s="24">
        <v>7107.86</v>
      </c>
      <c r="R91" s="24">
        <v>7955.33</v>
      </c>
      <c r="S91" s="11">
        <f t="shared" si="14"/>
        <v>7660.498243412474</v>
      </c>
      <c r="T91" s="11">
        <f t="shared" si="14"/>
        <v>8498.943535875278</v>
      </c>
      <c r="U91" s="11">
        <f t="shared" si="14"/>
        <v>9337.3888283380838</v>
      </c>
      <c r="V91" s="32">
        <f t="shared" si="15"/>
        <v>56987.747629155187</v>
      </c>
      <c r="W91" s="33">
        <f t="shared" si="12"/>
        <v>10175.834120800888</v>
      </c>
      <c r="X91" s="33">
        <f t="shared" si="17"/>
        <v>11014.279413263692</v>
      </c>
      <c r="Y91" s="33">
        <f t="shared" si="17"/>
        <v>11852.724705726498</v>
      </c>
      <c r="Z91" s="33">
        <f t="shared" si="17"/>
        <v>12691.169998189302</v>
      </c>
      <c r="AA91" s="33">
        <f t="shared" si="17"/>
        <v>13529.615290652106</v>
      </c>
      <c r="AB91" s="33">
        <f t="shared" si="17"/>
        <v>14368.06058311491</v>
      </c>
      <c r="AC91" s="33">
        <f t="shared" si="17"/>
        <v>15206.505875577714</v>
      </c>
      <c r="AD91" s="33">
        <f t="shared" si="17"/>
        <v>16044.951168040519</v>
      </c>
      <c r="AE91" s="33">
        <f t="shared" si="17"/>
        <v>16883.396460503325</v>
      </c>
      <c r="AF91" s="33">
        <f t="shared" si="17"/>
        <v>17721.841752966127</v>
      </c>
      <c r="AG91" s="33">
        <f t="shared" si="17"/>
        <v>18560.287045428933</v>
      </c>
      <c r="AH91" s="33">
        <f t="shared" si="17"/>
        <v>19398.732337891735</v>
      </c>
      <c r="AI91" s="38">
        <f t="shared" si="13"/>
        <v>177447.39875215574</v>
      </c>
    </row>
    <row r="92" spans="1:35">
      <c r="A92" s="3">
        <v>873</v>
      </c>
      <c r="B92" s="1" t="s">
        <v>216</v>
      </c>
      <c r="C92" s="1" t="s">
        <v>22</v>
      </c>
      <c r="D92" s="1" t="s">
        <v>34</v>
      </c>
      <c r="E92" s="4" t="s">
        <v>14</v>
      </c>
      <c r="F92" s="4">
        <v>81593</v>
      </c>
      <c r="G92" s="4">
        <v>2011</v>
      </c>
      <c r="H92" s="4"/>
      <c r="I92" s="1" t="s">
        <v>217</v>
      </c>
      <c r="J92" s="17">
        <v>973.97615737287765</v>
      </c>
      <c r="K92" s="24">
        <v>898.04065787044135</v>
      </c>
      <c r="L92" s="24">
        <v>351.54</v>
      </c>
      <c r="M92" s="24">
        <v>500.14</v>
      </c>
      <c r="N92" s="25">
        <v>1285.9982176549413</v>
      </c>
      <c r="O92" s="24">
        <v>1298.6376950376814</v>
      </c>
      <c r="P92" s="24">
        <v>972.91</v>
      </c>
      <c r="Q92" s="24">
        <v>960.87</v>
      </c>
      <c r="R92" s="24">
        <v>999.32</v>
      </c>
      <c r="S92" s="11">
        <f t="shared" si="14"/>
        <v>1168.5088402850261</v>
      </c>
      <c r="T92" s="11">
        <f t="shared" si="14"/>
        <v>1206.1843840551574</v>
      </c>
      <c r="U92" s="11">
        <f t="shared" si="14"/>
        <v>1243.8599278252889</v>
      </c>
      <c r="V92" s="32">
        <f t="shared" si="15"/>
        <v>11859.985880101416</v>
      </c>
      <c r="W92" s="33">
        <f t="shared" si="12"/>
        <v>1281.5354715954204</v>
      </c>
      <c r="X92" s="33">
        <f t="shared" si="17"/>
        <v>1319.2110153655517</v>
      </c>
      <c r="Y92" s="33">
        <f t="shared" si="17"/>
        <v>1356.8865591356832</v>
      </c>
      <c r="Z92" s="33">
        <f t="shared" si="17"/>
        <v>1394.5621029058148</v>
      </c>
      <c r="AA92" s="33">
        <f t="shared" si="17"/>
        <v>1432.2376466759461</v>
      </c>
      <c r="AB92" s="33">
        <f t="shared" si="17"/>
        <v>1469.9131904460774</v>
      </c>
      <c r="AC92" s="33">
        <f t="shared" si="17"/>
        <v>1507.5887342162089</v>
      </c>
      <c r="AD92" s="33">
        <f t="shared" si="17"/>
        <v>1545.2642779863404</v>
      </c>
      <c r="AE92" s="33">
        <f t="shared" si="17"/>
        <v>1582.9398217564717</v>
      </c>
      <c r="AF92" s="33">
        <f t="shared" si="17"/>
        <v>1620.6153655266032</v>
      </c>
      <c r="AG92" s="33">
        <f t="shared" si="17"/>
        <v>1658.2909092967348</v>
      </c>
      <c r="AH92" s="33">
        <f t="shared" si="17"/>
        <v>1695.9664530668661</v>
      </c>
      <c r="AI92" s="38">
        <f t="shared" si="13"/>
        <v>17865.011547973718</v>
      </c>
    </row>
    <row r="93" spans="1:35">
      <c r="A93" s="3">
        <v>527</v>
      </c>
      <c r="B93" s="1" t="s">
        <v>218</v>
      </c>
      <c r="C93" s="1" t="s">
        <v>22</v>
      </c>
      <c r="D93" s="1" t="s">
        <v>34</v>
      </c>
      <c r="E93" s="4" t="s">
        <v>14</v>
      </c>
      <c r="F93" s="4">
        <v>81593</v>
      </c>
      <c r="G93" s="4">
        <v>2011</v>
      </c>
      <c r="H93" s="4"/>
      <c r="I93" s="1" t="s">
        <v>219</v>
      </c>
      <c r="J93" s="17">
        <v>2617.7734668538587</v>
      </c>
      <c r="K93" s="24">
        <v>2602.927586453276</v>
      </c>
      <c r="L93" s="24">
        <v>3463.82</v>
      </c>
      <c r="M93" s="24">
        <v>3857.95</v>
      </c>
      <c r="N93" s="25">
        <v>3238.9025360916321</v>
      </c>
      <c r="O93" s="24">
        <v>3304.228496959578</v>
      </c>
      <c r="P93" s="24">
        <v>3407.41</v>
      </c>
      <c r="Q93" s="24">
        <v>3970.27</v>
      </c>
      <c r="R93" s="24">
        <v>4351.5</v>
      </c>
      <c r="S93" s="11">
        <f t="shared" si="14"/>
        <v>4180.4560791645581</v>
      </c>
      <c r="T93" s="11">
        <f t="shared" si="14"/>
        <v>4354.3067112149065</v>
      </c>
      <c r="U93" s="11">
        <f t="shared" si="14"/>
        <v>4528.1573432652549</v>
      </c>
      <c r="V93" s="32">
        <f t="shared" si="15"/>
        <v>43877.702220003062</v>
      </c>
      <c r="W93" s="33">
        <f t="shared" si="12"/>
        <v>4702.0079753156033</v>
      </c>
      <c r="X93" s="33">
        <f t="shared" si="17"/>
        <v>4875.8586073659517</v>
      </c>
      <c r="Y93" s="33">
        <f t="shared" si="17"/>
        <v>5049.7092394162992</v>
      </c>
      <c r="Z93" s="33">
        <f t="shared" si="17"/>
        <v>5223.5598714666476</v>
      </c>
      <c r="AA93" s="33">
        <f t="shared" si="17"/>
        <v>5397.410503516996</v>
      </c>
      <c r="AB93" s="33">
        <f t="shared" si="17"/>
        <v>5571.2611355673444</v>
      </c>
      <c r="AC93" s="33">
        <f t="shared" si="17"/>
        <v>5745.1117676176927</v>
      </c>
      <c r="AD93" s="33">
        <f t="shared" si="17"/>
        <v>5918.9623996680402</v>
      </c>
      <c r="AE93" s="33">
        <f t="shared" si="17"/>
        <v>6092.8130317183895</v>
      </c>
      <c r="AF93" s="33">
        <f t="shared" si="17"/>
        <v>6266.663663768737</v>
      </c>
      <c r="AG93" s="33">
        <f t="shared" si="17"/>
        <v>6440.5142958190854</v>
      </c>
      <c r="AH93" s="33">
        <f t="shared" si="17"/>
        <v>6614.3649278694338</v>
      </c>
      <c r="AI93" s="38">
        <f t="shared" si="13"/>
        <v>67898.237419110214</v>
      </c>
    </row>
    <row r="94" spans="1:35">
      <c r="A94" s="27">
        <v>239</v>
      </c>
      <c r="B94" s="28" t="s">
        <v>220</v>
      </c>
      <c r="C94" s="28" t="s">
        <v>27</v>
      </c>
      <c r="D94" s="28" t="s">
        <v>23</v>
      </c>
      <c r="E94" s="29" t="s">
        <v>14</v>
      </c>
      <c r="F94" s="29">
        <v>81593</v>
      </c>
      <c r="G94" s="29">
        <v>2004</v>
      </c>
      <c r="H94" s="29"/>
      <c r="I94" s="28" t="s">
        <v>221</v>
      </c>
      <c r="J94" s="17">
        <v>316.31864695301192</v>
      </c>
      <c r="K94" s="24">
        <v>318.89694338907725</v>
      </c>
      <c r="L94" s="24">
        <v>296.76</v>
      </c>
      <c r="M94" s="24">
        <v>327.79</v>
      </c>
      <c r="N94" s="25">
        <v>316.70897279933763</v>
      </c>
      <c r="O94" s="24">
        <v>64.635651408366527</v>
      </c>
      <c r="P94" s="24">
        <v>0</v>
      </c>
      <c r="Q94" s="24">
        <v>0</v>
      </c>
      <c r="R94" s="24">
        <v>0</v>
      </c>
      <c r="S94" s="11">
        <f t="shared" si="14"/>
        <v>0</v>
      </c>
      <c r="T94" s="11">
        <f t="shared" si="14"/>
        <v>0</v>
      </c>
      <c r="U94" s="11">
        <f t="shared" si="14"/>
        <v>0</v>
      </c>
      <c r="V94" s="32">
        <f t="shared" si="15"/>
        <v>1641.1102145497932</v>
      </c>
      <c r="W94" s="33">
        <f t="shared" si="12"/>
        <v>0</v>
      </c>
      <c r="X94" s="33">
        <f t="shared" si="17"/>
        <v>0</v>
      </c>
      <c r="Y94" s="33">
        <f t="shared" si="17"/>
        <v>0</v>
      </c>
      <c r="Z94" s="33">
        <f t="shared" si="17"/>
        <v>0</v>
      </c>
      <c r="AA94" s="33">
        <f t="shared" si="17"/>
        <v>0</v>
      </c>
      <c r="AB94" s="33">
        <f t="shared" si="17"/>
        <v>0</v>
      </c>
      <c r="AC94" s="33">
        <f t="shared" si="17"/>
        <v>0</v>
      </c>
      <c r="AD94" s="33">
        <f t="shared" si="17"/>
        <v>0</v>
      </c>
      <c r="AE94" s="33">
        <f t="shared" si="17"/>
        <v>0</v>
      </c>
      <c r="AF94" s="33">
        <f t="shared" si="17"/>
        <v>0</v>
      </c>
      <c r="AG94" s="33">
        <f t="shared" si="17"/>
        <v>0</v>
      </c>
      <c r="AH94" s="33">
        <f t="shared" si="17"/>
        <v>0</v>
      </c>
      <c r="AI94" s="38">
        <f t="shared" si="13"/>
        <v>0</v>
      </c>
    </row>
    <row r="95" spans="1:35" s="15" customFormat="1">
      <c r="A95" s="3">
        <v>1054</v>
      </c>
      <c r="B95" s="1" t="s">
        <v>222</v>
      </c>
      <c r="C95" s="1" t="s">
        <v>22</v>
      </c>
      <c r="D95" s="1" t="s">
        <v>28</v>
      </c>
      <c r="E95" s="4" t="s">
        <v>14</v>
      </c>
      <c r="F95" s="4">
        <v>81593</v>
      </c>
      <c r="G95" s="4">
        <v>2005</v>
      </c>
      <c r="H95" s="4"/>
      <c r="I95" s="44" t="s">
        <v>223</v>
      </c>
      <c r="J95" s="17">
        <v>0</v>
      </c>
      <c r="K95" s="24">
        <v>5.3473898884747011E-2</v>
      </c>
      <c r="L95" s="24">
        <v>144.37</v>
      </c>
      <c r="M95" s="24">
        <v>293.76</v>
      </c>
      <c r="N95" s="25">
        <v>289.26133799054168</v>
      </c>
      <c r="O95" s="24">
        <v>296.50118560028898</v>
      </c>
      <c r="P95" s="24">
        <v>297.36</v>
      </c>
      <c r="Q95" s="24">
        <v>324.83</v>
      </c>
      <c r="R95" s="24">
        <v>331.25</v>
      </c>
      <c r="S95" s="11">
        <f t="shared" si="14"/>
        <v>378.61736172044687</v>
      </c>
      <c r="T95" s="11">
        <f t="shared" si="14"/>
        <v>422.070376359786</v>
      </c>
      <c r="U95" s="11">
        <f t="shared" si="14"/>
        <v>465.52339099912507</v>
      </c>
      <c r="V95" s="32">
        <f t="shared" si="15"/>
        <v>3243.5971265690737</v>
      </c>
      <c r="W95" s="33">
        <f t="shared" si="12"/>
        <v>508.97640563846414</v>
      </c>
      <c r="X95" s="33">
        <f t="shared" si="17"/>
        <v>552.42942027780327</v>
      </c>
      <c r="Y95" s="33">
        <f t="shared" si="17"/>
        <v>595.88243491714229</v>
      </c>
      <c r="Z95" s="33">
        <f t="shared" si="17"/>
        <v>639.33544955648154</v>
      </c>
      <c r="AA95" s="33">
        <f t="shared" si="17"/>
        <v>682.78846419582055</v>
      </c>
      <c r="AB95" s="33">
        <f t="shared" si="17"/>
        <v>726.24147883515957</v>
      </c>
      <c r="AC95" s="33">
        <f t="shared" si="17"/>
        <v>769.69449347449881</v>
      </c>
      <c r="AD95" s="33">
        <f t="shared" si="17"/>
        <v>813.14750811383783</v>
      </c>
      <c r="AE95" s="33">
        <f t="shared" si="17"/>
        <v>856.60052275317685</v>
      </c>
      <c r="AF95" s="33">
        <f t="shared" si="17"/>
        <v>900.05353739251609</v>
      </c>
      <c r="AG95" s="33">
        <f t="shared" si="17"/>
        <v>943.50655203185511</v>
      </c>
      <c r="AH95" s="33">
        <f t="shared" si="17"/>
        <v>986.95956667119412</v>
      </c>
      <c r="AI95" s="38">
        <f t="shared" si="13"/>
        <v>8975.6158338579498</v>
      </c>
    </row>
    <row r="96" spans="1:35">
      <c r="A96" s="3">
        <v>170</v>
      </c>
      <c r="B96" s="1" t="s">
        <v>224</v>
      </c>
      <c r="C96" s="1" t="s">
        <v>12</v>
      </c>
      <c r="D96" s="1" t="s">
        <v>38</v>
      </c>
      <c r="E96" s="4" t="s">
        <v>39</v>
      </c>
      <c r="F96" s="5" t="s">
        <v>40</v>
      </c>
      <c r="G96" s="5" t="s">
        <v>41</v>
      </c>
      <c r="H96" s="5"/>
      <c r="I96" s="1" t="s">
        <v>225</v>
      </c>
      <c r="J96" s="17">
        <v>13.208371649190541</v>
      </c>
      <c r="K96" s="24">
        <v>10.780338015164997</v>
      </c>
      <c r="L96" s="24">
        <v>10.69</v>
      </c>
      <c r="M96" s="24">
        <v>11.27</v>
      </c>
      <c r="N96" s="25">
        <v>10.90762885152524</v>
      </c>
      <c r="O96" s="24">
        <v>11.206512742110291</v>
      </c>
      <c r="P96" s="24">
        <v>10.75</v>
      </c>
      <c r="Q96" s="24">
        <v>11.71</v>
      </c>
      <c r="R96" s="24">
        <v>7.21</v>
      </c>
      <c r="S96" s="11">
        <f t="shared" si="14"/>
        <v>10.191586340238516</v>
      </c>
      <c r="T96" s="11">
        <f t="shared" si="14"/>
        <v>7.7718734816314354</v>
      </c>
      <c r="U96" s="11">
        <f t="shared" si="14"/>
        <v>9.481165760829656</v>
      </c>
      <c r="V96" s="32">
        <f t="shared" si="15"/>
        <v>125.17747684069067</v>
      </c>
      <c r="W96" s="33">
        <f t="shared" si="12"/>
        <v>7.061452902222574</v>
      </c>
      <c r="X96" s="33">
        <f t="shared" si="17"/>
        <v>8.7707451814207964</v>
      </c>
      <c r="Y96" s="33">
        <f t="shared" si="17"/>
        <v>6.3510323228137144</v>
      </c>
      <c r="Z96" s="33">
        <f t="shared" si="17"/>
        <v>8.0603246020119368</v>
      </c>
      <c r="AA96" s="33">
        <f t="shared" si="17"/>
        <v>5.6406117434048548</v>
      </c>
      <c r="AB96" s="33">
        <f t="shared" si="17"/>
        <v>7.3499040226030763</v>
      </c>
      <c r="AC96" s="33">
        <f t="shared" si="17"/>
        <v>4.9301911639959943</v>
      </c>
      <c r="AD96" s="33">
        <f t="shared" si="17"/>
        <v>6.6394834431942167</v>
      </c>
      <c r="AE96" s="33">
        <f t="shared" si="17"/>
        <v>4.2197705845871338</v>
      </c>
      <c r="AF96" s="33">
        <f t="shared" si="17"/>
        <v>5.9290628637853562</v>
      </c>
      <c r="AG96" s="33">
        <f t="shared" si="17"/>
        <v>3.5093500051782742</v>
      </c>
      <c r="AH96" s="33">
        <f t="shared" si="17"/>
        <v>5.2186422843764957</v>
      </c>
      <c r="AI96" s="38">
        <f t="shared" si="13"/>
        <v>73.680571119594433</v>
      </c>
    </row>
    <row r="97" spans="1:35" s="15" customFormat="1">
      <c r="A97" s="3">
        <v>1116</v>
      </c>
      <c r="B97" s="1" t="s">
        <v>226</v>
      </c>
      <c r="C97" s="1" t="s">
        <v>136</v>
      </c>
      <c r="D97" s="1" t="s">
        <v>44</v>
      </c>
      <c r="E97" s="4" t="s">
        <v>14</v>
      </c>
      <c r="F97" s="4">
        <v>81593</v>
      </c>
      <c r="G97" s="4">
        <v>2009</v>
      </c>
      <c r="H97" s="4"/>
      <c r="I97" s="44" t="s">
        <v>227</v>
      </c>
      <c r="J97" s="17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6.74</v>
      </c>
      <c r="R97" s="24">
        <v>168.76</v>
      </c>
      <c r="S97" s="11">
        <f t="shared" si="14"/>
        <v>85.890153980958885</v>
      </c>
      <c r="T97" s="11">
        <f t="shared" si="14"/>
        <v>97.339259866082941</v>
      </c>
      <c r="U97" s="11">
        <f t="shared" si="14"/>
        <v>108.78836575120694</v>
      </c>
      <c r="V97" s="32">
        <f t="shared" si="15"/>
        <v>467.51777959824875</v>
      </c>
      <c r="W97" s="33">
        <f t="shared" si="12"/>
        <v>120.23747163633101</v>
      </c>
      <c r="X97" s="33">
        <f t="shared" si="17"/>
        <v>131.68657752145501</v>
      </c>
      <c r="Y97" s="33">
        <f t="shared" si="17"/>
        <v>143.13568340657909</v>
      </c>
      <c r="Z97" s="33">
        <f t="shared" si="17"/>
        <v>154.58478929170306</v>
      </c>
      <c r="AA97" s="33">
        <f t="shared" si="17"/>
        <v>166.03389517682714</v>
      </c>
      <c r="AB97" s="33">
        <f t="shared" si="17"/>
        <v>177.48300106195111</v>
      </c>
      <c r="AC97" s="33">
        <f t="shared" si="17"/>
        <v>188.93210694707523</v>
      </c>
      <c r="AD97" s="33">
        <f t="shared" si="17"/>
        <v>200.38121283219922</v>
      </c>
      <c r="AE97" s="33">
        <f t="shared" si="17"/>
        <v>211.83031871732331</v>
      </c>
      <c r="AF97" s="33">
        <f t="shared" si="17"/>
        <v>223.27942460244728</v>
      </c>
      <c r="AG97" s="33">
        <f t="shared" si="17"/>
        <v>234.72853048757136</v>
      </c>
      <c r="AH97" s="33">
        <f t="shared" si="17"/>
        <v>246.17763637269533</v>
      </c>
      <c r="AI97" s="38">
        <f t="shared" si="13"/>
        <v>2198.4906480541581</v>
      </c>
    </row>
    <row r="98" spans="1:35">
      <c r="A98" s="3">
        <v>78</v>
      </c>
      <c r="B98" s="1" t="s">
        <v>228</v>
      </c>
      <c r="C98" s="1" t="s">
        <v>12</v>
      </c>
      <c r="D98" s="1" t="s">
        <v>38</v>
      </c>
      <c r="E98" s="4" t="s">
        <v>39</v>
      </c>
      <c r="F98" s="5" t="s">
        <v>40</v>
      </c>
      <c r="G98" s="5" t="s">
        <v>41</v>
      </c>
      <c r="H98" s="5"/>
      <c r="I98" s="1" t="s">
        <v>229</v>
      </c>
      <c r="J98" s="17">
        <v>192.0171026192252</v>
      </c>
      <c r="K98" s="24">
        <v>222.0984916279082</v>
      </c>
      <c r="L98" s="24">
        <v>349.66</v>
      </c>
      <c r="M98" s="24">
        <v>261.58999999999997</v>
      </c>
      <c r="N98" s="25">
        <v>265.73187855965563</v>
      </c>
      <c r="O98" s="24">
        <v>266.57786811585873</v>
      </c>
      <c r="P98" s="24">
        <v>257.16000000000003</v>
      </c>
      <c r="Q98" s="24">
        <v>273.08999999999997</v>
      </c>
      <c r="R98" s="24">
        <v>271.5</v>
      </c>
      <c r="S98" s="11">
        <f t="shared" si="14"/>
        <v>279.42989782562881</v>
      </c>
      <c r="T98" s="11">
        <f t="shared" si="14"/>
        <v>284.36404478352836</v>
      </c>
      <c r="U98" s="11">
        <f t="shared" si="14"/>
        <v>289.29819174142796</v>
      </c>
      <c r="V98" s="32">
        <f t="shared" si="15"/>
        <v>3212.5174752732332</v>
      </c>
      <c r="W98" s="33">
        <f t="shared" si="12"/>
        <v>294.23233869932756</v>
      </c>
      <c r="X98" s="33">
        <f t="shared" si="17"/>
        <v>299.1664856572271</v>
      </c>
      <c r="Y98" s="33">
        <f t="shared" si="17"/>
        <v>304.1006326151267</v>
      </c>
      <c r="Z98" s="33">
        <f t="shared" si="17"/>
        <v>309.0347795730263</v>
      </c>
      <c r="AA98" s="33">
        <f t="shared" si="17"/>
        <v>313.96892653092584</v>
      </c>
      <c r="AB98" s="33">
        <f t="shared" si="17"/>
        <v>318.90307348882544</v>
      </c>
      <c r="AC98" s="33">
        <f t="shared" si="17"/>
        <v>323.83722044672504</v>
      </c>
      <c r="AD98" s="33">
        <f t="shared" si="17"/>
        <v>328.77136740462458</v>
      </c>
      <c r="AE98" s="33">
        <f t="shared" si="17"/>
        <v>333.70551436252418</v>
      </c>
      <c r="AF98" s="33">
        <f t="shared" si="17"/>
        <v>338.63966132042378</v>
      </c>
      <c r="AG98" s="33">
        <f t="shared" si="17"/>
        <v>343.57380827832333</v>
      </c>
      <c r="AH98" s="33">
        <f t="shared" si="17"/>
        <v>348.50795523622293</v>
      </c>
      <c r="AI98" s="38">
        <f t="shared" si="13"/>
        <v>3856.4417636133026</v>
      </c>
    </row>
    <row r="99" spans="1:35" s="9" customFormat="1">
      <c r="A99" s="3">
        <v>958</v>
      </c>
      <c r="B99" s="1" t="s">
        <v>230</v>
      </c>
      <c r="C99" s="1" t="s">
        <v>22</v>
      </c>
      <c r="D99" s="1" t="s">
        <v>34</v>
      </c>
      <c r="E99" s="45" t="s">
        <v>14</v>
      </c>
      <c r="F99" s="44">
        <v>81593</v>
      </c>
      <c r="G99" s="44">
        <v>2011</v>
      </c>
      <c r="H99" s="44"/>
      <c r="I99" s="7" t="s">
        <v>231</v>
      </c>
      <c r="J99" s="17">
        <v>1114.7375288465757</v>
      </c>
      <c r="K99" s="24">
        <v>1199.7510901579608</v>
      </c>
      <c r="L99" s="24">
        <v>1298.9100000000001</v>
      </c>
      <c r="M99" s="24">
        <v>3625.37</v>
      </c>
      <c r="N99" s="25">
        <v>2518.6827208578529</v>
      </c>
      <c r="O99" s="24">
        <v>2165.5460937380603</v>
      </c>
      <c r="P99" s="24">
        <v>2127.88</v>
      </c>
      <c r="Q99" s="24">
        <v>2616.0700000000002</v>
      </c>
      <c r="R99" s="24">
        <v>2999.82</v>
      </c>
      <c r="S99" s="11">
        <f t="shared" si="14"/>
        <v>2929.7370149746207</v>
      </c>
      <c r="T99" s="11">
        <f t="shared" si="14"/>
        <v>3131.9226136804655</v>
      </c>
      <c r="U99" s="11">
        <f t="shared" si="14"/>
        <v>3334.1082123863107</v>
      </c>
      <c r="V99" s="32">
        <f t="shared" si="15"/>
        <v>29062.535274641843</v>
      </c>
      <c r="W99" s="33">
        <f t="shared" si="12"/>
        <v>3536.2938110921559</v>
      </c>
      <c r="X99" s="33">
        <f t="shared" si="17"/>
        <v>3738.4794097980011</v>
      </c>
      <c r="Y99" s="33">
        <f t="shared" si="17"/>
        <v>3940.6650085038464</v>
      </c>
      <c r="Z99" s="33">
        <f t="shared" si="17"/>
        <v>4142.8506072096916</v>
      </c>
      <c r="AA99" s="33">
        <f t="shared" si="17"/>
        <v>4345.0362059155359</v>
      </c>
      <c r="AB99" s="33">
        <f t="shared" si="17"/>
        <v>4547.221804621382</v>
      </c>
      <c r="AC99" s="33">
        <f t="shared" si="17"/>
        <v>4749.4074033272263</v>
      </c>
      <c r="AD99" s="33">
        <f t="shared" si="17"/>
        <v>4951.5930020330716</v>
      </c>
      <c r="AE99" s="33">
        <f t="shared" si="17"/>
        <v>5153.7786007389168</v>
      </c>
      <c r="AF99" s="33">
        <f t="shared" si="17"/>
        <v>5355.964199444762</v>
      </c>
      <c r="AG99" s="33">
        <f t="shared" si="17"/>
        <v>5558.1497981506072</v>
      </c>
      <c r="AH99" s="33">
        <f t="shared" si="17"/>
        <v>5760.3353968564516</v>
      </c>
      <c r="AI99" s="38">
        <f t="shared" si="13"/>
        <v>55779.775247691636</v>
      </c>
    </row>
    <row r="100" spans="1:35" s="9" customFormat="1">
      <c r="A100" s="3">
        <v>962</v>
      </c>
      <c r="B100" s="1" t="s">
        <v>232</v>
      </c>
      <c r="C100" s="1" t="s">
        <v>27</v>
      </c>
      <c r="D100" s="1" t="s">
        <v>44</v>
      </c>
      <c r="E100" s="45" t="s">
        <v>14</v>
      </c>
      <c r="F100" s="44">
        <v>81593</v>
      </c>
      <c r="G100" s="44">
        <v>2004</v>
      </c>
      <c r="H100" s="44"/>
      <c r="I100" s="7" t="s">
        <v>233</v>
      </c>
      <c r="J100" s="17">
        <v>856.59328390295263</v>
      </c>
      <c r="K100" s="24">
        <v>804.86773645365815</v>
      </c>
      <c r="L100" s="24">
        <v>749.97</v>
      </c>
      <c r="M100" s="24">
        <v>821.05</v>
      </c>
      <c r="N100" s="25">
        <v>815.6028970897728</v>
      </c>
      <c r="O100" s="24">
        <v>824.62149067637381</v>
      </c>
      <c r="P100" s="24">
        <v>816.43</v>
      </c>
      <c r="Q100" s="24">
        <v>882.13</v>
      </c>
      <c r="R100" s="24">
        <v>1167.81</v>
      </c>
      <c r="S100" s="11">
        <f t="shared" si="14"/>
        <v>1194.695752428393</v>
      </c>
      <c r="T100" s="11">
        <f t="shared" si="14"/>
        <v>1221.5815048567858</v>
      </c>
      <c r="U100" s="11">
        <f t="shared" si="14"/>
        <v>1248.4672572851789</v>
      </c>
      <c r="V100" s="32">
        <f t="shared" si="15"/>
        <v>11403.819922693117</v>
      </c>
      <c r="W100" s="33">
        <f t="shared" si="12"/>
        <v>1275.353009713572</v>
      </c>
      <c r="X100" s="33">
        <f t="shared" si="17"/>
        <v>1302.2387621419648</v>
      </c>
      <c r="Y100" s="33">
        <f t="shared" si="17"/>
        <v>1329.1245145703579</v>
      </c>
      <c r="Z100" s="33">
        <f t="shared" si="17"/>
        <v>1356.0102669987509</v>
      </c>
      <c r="AA100" s="33">
        <f t="shared" si="17"/>
        <v>1382.8960194271438</v>
      </c>
      <c r="AB100" s="33">
        <f t="shared" si="17"/>
        <v>1409.7817718555368</v>
      </c>
      <c r="AC100" s="33">
        <f t="shared" si="17"/>
        <v>1436.6675242839299</v>
      </c>
      <c r="AD100" s="33">
        <f t="shared" si="17"/>
        <v>1463.5532767123227</v>
      </c>
      <c r="AE100" s="33">
        <f t="shared" si="17"/>
        <v>1490.4390291407158</v>
      </c>
      <c r="AF100" s="33">
        <f t="shared" si="17"/>
        <v>1517.3247815691088</v>
      </c>
      <c r="AG100" s="33">
        <f t="shared" si="17"/>
        <v>1544.2105339975019</v>
      </c>
      <c r="AH100" s="33">
        <f t="shared" si="17"/>
        <v>1571.0962864258947</v>
      </c>
      <c r="AI100" s="38">
        <f t="shared" si="13"/>
        <v>17078.695776836801</v>
      </c>
    </row>
    <row r="101" spans="1:35" s="15" customFormat="1">
      <c r="A101" s="3">
        <v>1076</v>
      </c>
      <c r="B101" s="1" t="s">
        <v>234</v>
      </c>
      <c r="C101" s="1" t="s">
        <v>27</v>
      </c>
      <c r="D101" s="1" t="s">
        <v>34</v>
      </c>
      <c r="E101" s="4" t="s">
        <v>14</v>
      </c>
      <c r="F101" s="4">
        <v>81593</v>
      </c>
      <c r="G101" s="4">
        <v>2006</v>
      </c>
      <c r="H101" s="4"/>
      <c r="I101" s="43" t="s">
        <v>235</v>
      </c>
      <c r="J101" s="17">
        <v>0</v>
      </c>
      <c r="K101" s="24">
        <v>0</v>
      </c>
      <c r="L101" s="24">
        <v>0</v>
      </c>
      <c r="M101" s="24">
        <v>20.02</v>
      </c>
      <c r="N101" s="25">
        <v>132.54452645585863</v>
      </c>
      <c r="O101" s="24">
        <v>149.23089482299639</v>
      </c>
      <c r="P101" s="24">
        <v>147.41</v>
      </c>
      <c r="Q101" s="24">
        <v>157.69999999999999</v>
      </c>
      <c r="R101" s="24">
        <v>157.54</v>
      </c>
      <c r="S101" s="11">
        <f t="shared" si="14"/>
        <v>218.16233413423032</v>
      </c>
      <c r="T101" s="11">
        <f t="shared" si="14"/>
        <v>243.51354901055305</v>
      </c>
      <c r="U101" s="11">
        <f t="shared" si="14"/>
        <v>268.86476388687572</v>
      </c>
      <c r="V101" s="32">
        <f t="shared" si="15"/>
        <v>1494.9860683105144</v>
      </c>
      <c r="W101" s="33">
        <f t="shared" si="12"/>
        <v>294.21597876319845</v>
      </c>
      <c r="X101" s="33">
        <f t="shared" si="17"/>
        <v>319.56719363952118</v>
      </c>
      <c r="Y101" s="33">
        <f t="shared" si="17"/>
        <v>344.91840851584391</v>
      </c>
      <c r="Z101" s="33">
        <f t="shared" si="17"/>
        <v>370.26962339216664</v>
      </c>
      <c r="AA101" s="33">
        <f t="shared" si="17"/>
        <v>395.62083826848936</v>
      </c>
      <c r="AB101" s="33">
        <f t="shared" si="17"/>
        <v>420.97205314481209</v>
      </c>
      <c r="AC101" s="33">
        <f t="shared" si="17"/>
        <v>446.32326802113482</v>
      </c>
      <c r="AD101" s="33">
        <f t="shared" si="17"/>
        <v>471.67448289745755</v>
      </c>
      <c r="AE101" s="33">
        <f t="shared" si="17"/>
        <v>497.02569777378022</v>
      </c>
      <c r="AF101" s="33">
        <f t="shared" si="17"/>
        <v>522.37691265010289</v>
      </c>
      <c r="AG101" s="33">
        <f t="shared" si="17"/>
        <v>547.72812752642562</v>
      </c>
      <c r="AH101" s="33">
        <f t="shared" si="17"/>
        <v>573.07934240274835</v>
      </c>
      <c r="AI101" s="38">
        <f t="shared" si="13"/>
        <v>5203.7719269956815</v>
      </c>
    </row>
    <row r="102" spans="1:35" s="43" customFormat="1">
      <c r="A102" s="3">
        <v>1124</v>
      </c>
      <c r="B102" s="1" t="s">
        <v>236</v>
      </c>
      <c r="C102" s="1" t="s">
        <v>27</v>
      </c>
      <c r="D102" s="1" t="s">
        <v>34</v>
      </c>
      <c r="E102" s="4" t="s">
        <v>14</v>
      </c>
      <c r="F102" s="4">
        <v>81593</v>
      </c>
      <c r="G102" s="4">
        <v>2006</v>
      </c>
      <c r="H102" s="4"/>
      <c r="I102" s="44" t="s">
        <v>237</v>
      </c>
      <c r="J102" s="17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49.51</v>
      </c>
      <c r="S102" s="11">
        <f t="shared" si="14"/>
        <v>24.433306326334748</v>
      </c>
      <c r="T102" s="11">
        <f t="shared" si="14"/>
        <v>27.69426877256949</v>
      </c>
      <c r="U102" s="11">
        <f t="shared" si="14"/>
        <v>30.955231218804219</v>
      </c>
      <c r="V102" s="32"/>
      <c r="W102" s="33">
        <f t="shared" si="12"/>
        <v>34.216193665038965</v>
      </c>
      <c r="X102" s="33">
        <f t="shared" si="17"/>
        <v>37.477156111273693</v>
      </c>
      <c r="Y102" s="33">
        <f t="shared" si="17"/>
        <v>40.738118557508443</v>
      </c>
      <c r="Z102" s="33">
        <f t="shared" si="17"/>
        <v>43.999081003743164</v>
      </c>
      <c r="AA102" s="33">
        <f t="shared" si="17"/>
        <v>47.260043449977921</v>
      </c>
      <c r="AB102" s="33">
        <f t="shared" si="17"/>
        <v>50.521005896212635</v>
      </c>
      <c r="AC102" s="33">
        <f t="shared" si="17"/>
        <v>53.781968342447392</v>
      </c>
      <c r="AD102" s="33">
        <f t="shared" si="17"/>
        <v>57.042930788682121</v>
      </c>
      <c r="AE102" s="33">
        <f t="shared" si="17"/>
        <v>60.303893234916863</v>
      </c>
      <c r="AF102" s="33">
        <f t="shared" si="17"/>
        <v>63.564855681151592</v>
      </c>
      <c r="AG102" s="33">
        <f t="shared" si="17"/>
        <v>66.825818127386341</v>
      </c>
      <c r="AH102" s="33">
        <f t="shared" si="17"/>
        <v>70.08678057362107</v>
      </c>
      <c r="AI102" s="38">
        <f t="shared" si="13"/>
        <v>625.81784543196022</v>
      </c>
    </row>
    <row r="103" spans="1:35">
      <c r="A103" s="3">
        <v>838</v>
      </c>
      <c r="B103" s="1" t="s">
        <v>238</v>
      </c>
      <c r="C103" s="1" t="s">
        <v>27</v>
      </c>
      <c r="D103" s="1" t="s">
        <v>77</v>
      </c>
      <c r="E103" s="4" t="s">
        <v>14</v>
      </c>
      <c r="F103" s="4">
        <v>81593</v>
      </c>
      <c r="G103" s="4">
        <v>2008</v>
      </c>
      <c r="H103" s="4"/>
      <c r="I103" s="1" t="s">
        <v>239</v>
      </c>
      <c r="J103" s="17">
        <v>3011.5300570350546</v>
      </c>
      <c r="K103" s="24">
        <v>1895.5213781069583</v>
      </c>
      <c r="L103" s="24">
        <v>1753.73</v>
      </c>
      <c r="M103" s="24">
        <v>2339.29</v>
      </c>
      <c r="N103" s="25">
        <v>3719.4912347883942</v>
      </c>
      <c r="O103" s="24">
        <v>4107.1976336667312</v>
      </c>
      <c r="P103" s="24">
        <v>4726.3500000000004</v>
      </c>
      <c r="Q103" s="24">
        <v>4509.88</v>
      </c>
      <c r="R103" s="24">
        <v>4440</v>
      </c>
      <c r="S103" s="11">
        <f t="shared" si="14"/>
        <v>4840.7619598922929</v>
      </c>
      <c r="T103" s="11">
        <f t="shared" si="14"/>
        <v>5193.762467430749</v>
      </c>
      <c r="U103" s="11">
        <f t="shared" si="14"/>
        <v>5546.7629749692042</v>
      </c>
      <c r="V103" s="32">
        <f t="shared" si="15"/>
        <v>46084.277705889392</v>
      </c>
      <c r="W103" s="33">
        <f t="shared" si="12"/>
        <v>5899.7634825076602</v>
      </c>
      <c r="X103" s="33">
        <f t="shared" si="17"/>
        <v>6252.7639900461163</v>
      </c>
      <c r="Y103" s="33">
        <f t="shared" si="17"/>
        <v>6605.7644975845724</v>
      </c>
      <c r="Z103" s="33">
        <f t="shared" si="17"/>
        <v>6958.7650051230285</v>
      </c>
      <c r="AA103" s="33">
        <f t="shared" si="17"/>
        <v>7311.7655126614845</v>
      </c>
      <c r="AB103" s="33">
        <f t="shared" si="17"/>
        <v>7664.7660201999406</v>
      </c>
      <c r="AC103" s="33">
        <f t="shared" si="17"/>
        <v>8017.7665277383967</v>
      </c>
      <c r="AD103" s="33">
        <f t="shared" si="17"/>
        <v>8370.7670352768528</v>
      </c>
      <c r="AE103" s="33">
        <f t="shared" si="17"/>
        <v>8723.7675428153088</v>
      </c>
      <c r="AF103" s="33">
        <f t="shared" si="17"/>
        <v>9076.7680503537631</v>
      </c>
      <c r="AG103" s="33">
        <f t="shared" si="17"/>
        <v>9429.768557892221</v>
      </c>
      <c r="AH103" s="33">
        <f t="shared" si="17"/>
        <v>9782.7690654306753</v>
      </c>
      <c r="AI103" s="38">
        <f t="shared" si="13"/>
        <v>94095.195287630035</v>
      </c>
    </row>
    <row r="104" spans="1:35">
      <c r="A104" s="3">
        <v>261</v>
      </c>
      <c r="B104" s="1" t="s">
        <v>240</v>
      </c>
      <c r="C104" s="1" t="s">
        <v>12</v>
      </c>
      <c r="D104" s="1" t="s">
        <v>77</v>
      </c>
      <c r="E104" s="4" t="s">
        <v>14</v>
      </c>
      <c r="F104" s="4">
        <v>81593</v>
      </c>
      <c r="G104" s="4">
        <v>2008</v>
      </c>
      <c r="H104" s="4"/>
      <c r="I104" s="1" t="s">
        <v>241</v>
      </c>
      <c r="J104" s="17">
        <v>335.35831746588866</v>
      </c>
      <c r="K104" s="24">
        <v>336.28665530639699</v>
      </c>
      <c r="L104" s="24">
        <v>413.99</v>
      </c>
      <c r="M104" s="24">
        <v>1193.23</v>
      </c>
      <c r="N104" s="25">
        <v>1268.4276499446264</v>
      </c>
      <c r="O104" s="24">
        <v>1178.1730399016506</v>
      </c>
      <c r="P104" s="24">
        <v>1096.23</v>
      </c>
      <c r="Q104" s="24">
        <v>1149.18</v>
      </c>
      <c r="R104" s="24">
        <v>1156.99</v>
      </c>
      <c r="S104" s="11">
        <f t="shared" ref="S104:U137" si="18">MAX(IF($R104=0,0,_xlfn.FORECAST.ETS(S$1,$J104:$R104,$J$1:$R$1)),0)</f>
        <v>1286.658158138157</v>
      </c>
      <c r="T104" s="11">
        <f t="shared" si="18"/>
        <v>1404.4454713792884</v>
      </c>
      <c r="U104" s="11">
        <f t="shared" si="18"/>
        <v>1522.23278462042</v>
      </c>
      <c r="V104" s="32">
        <f t="shared" si="15"/>
        <v>12341.202076756428</v>
      </c>
      <c r="W104" s="33">
        <f t="shared" si="12"/>
        <v>1640.0200978615517</v>
      </c>
      <c r="X104" s="33">
        <f t="shared" si="17"/>
        <v>1757.8074111026833</v>
      </c>
      <c r="Y104" s="33">
        <f t="shared" si="17"/>
        <v>1875.594724343815</v>
      </c>
      <c r="Z104" s="33">
        <f t="shared" si="17"/>
        <v>1993.3820375849464</v>
      </c>
      <c r="AA104" s="33">
        <f t="shared" si="17"/>
        <v>2111.1693508260778</v>
      </c>
      <c r="AB104" s="33">
        <f t="shared" si="17"/>
        <v>2228.9566640672097</v>
      </c>
      <c r="AC104" s="33">
        <f t="shared" si="17"/>
        <v>2346.7439773083415</v>
      </c>
      <c r="AD104" s="33">
        <f t="shared" si="17"/>
        <v>2464.5312905494729</v>
      </c>
      <c r="AE104" s="33">
        <f t="shared" si="17"/>
        <v>2582.3186037906044</v>
      </c>
      <c r="AF104" s="33">
        <f t="shared" si="17"/>
        <v>2700.1059170317358</v>
      </c>
      <c r="AG104" s="33">
        <f t="shared" si="17"/>
        <v>2817.8932302728672</v>
      </c>
      <c r="AH104" s="33">
        <f t="shared" si="17"/>
        <v>2935.6805435139991</v>
      </c>
      <c r="AI104" s="38">
        <f t="shared" si="13"/>
        <v>27454.203848253303</v>
      </c>
    </row>
    <row r="105" spans="1:35">
      <c r="A105" s="3">
        <v>715</v>
      </c>
      <c r="B105" s="1" t="s">
        <v>242</v>
      </c>
      <c r="C105" s="1" t="s">
        <v>27</v>
      </c>
      <c r="D105" s="1" t="s">
        <v>34</v>
      </c>
      <c r="E105" s="4" t="s">
        <v>14</v>
      </c>
      <c r="F105" s="4">
        <v>81593</v>
      </c>
      <c r="G105" s="4">
        <v>2006</v>
      </c>
      <c r="H105" s="4"/>
      <c r="I105" s="1" t="s">
        <v>243</v>
      </c>
      <c r="J105" s="17">
        <v>445.73723599350677</v>
      </c>
      <c r="K105" s="24">
        <v>420.64707818697389</v>
      </c>
      <c r="L105" s="24">
        <v>146.31</v>
      </c>
      <c r="M105" s="24">
        <v>145.30000000000001</v>
      </c>
      <c r="N105" s="25">
        <v>143.42154456224395</v>
      </c>
      <c r="O105" s="24">
        <v>140.99207235771647</v>
      </c>
      <c r="P105" s="24">
        <v>134.62</v>
      </c>
      <c r="Q105" s="24">
        <v>140.11000000000001</v>
      </c>
      <c r="R105" s="24">
        <v>134.96</v>
      </c>
      <c r="S105" s="11">
        <f t="shared" si="18"/>
        <v>96.264679158383331</v>
      </c>
      <c r="T105" s="11">
        <f t="shared" si="18"/>
        <v>61.02273482028518</v>
      </c>
      <c r="U105" s="11">
        <f t="shared" si="18"/>
        <v>25.78079048218714</v>
      </c>
      <c r="V105" s="32">
        <f t="shared" si="15"/>
        <v>2035.1661355612969</v>
      </c>
      <c r="W105" s="33">
        <f t="shared" si="12"/>
        <v>0</v>
      </c>
      <c r="X105" s="33">
        <f t="shared" si="17"/>
        <v>0</v>
      </c>
      <c r="Y105" s="33">
        <f t="shared" si="17"/>
        <v>0</v>
      </c>
      <c r="Z105" s="33">
        <f t="shared" si="17"/>
        <v>0</v>
      </c>
      <c r="AA105" s="33">
        <f t="shared" si="17"/>
        <v>0</v>
      </c>
      <c r="AB105" s="33">
        <f t="shared" si="17"/>
        <v>0</v>
      </c>
      <c r="AC105" s="33">
        <f t="shared" si="17"/>
        <v>0</v>
      </c>
      <c r="AD105" s="33">
        <f t="shared" si="17"/>
        <v>0</v>
      </c>
      <c r="AE105" s="33">
        <f t="shared" si="17"/>
        <v>0</v>
      </c>
      <c r="AF105" s="33">
        <f t="shared" si="17"/>
        <v>0</v>
      </c>
      <c r="AG105" s="33">
        <f t="shared" si="17"/>
        <v>0</v>
      </c>
      <c r="AH105" s="33">
        <f t="shared" ref="X105:AH129" si="19">MAX(IF($R105=0,0,_xlfn.FORECAST.ETS(AH$1,$J105:$R105,$J$1:$R$1)),0)</f>
        <v>0</v>
      </c>
      <c r="AI105" s="38">
        <f t="shared" si="13"/>
        <v>0</v>
      </c>
    </row>
    <row r="106" spans="1:35" s="15" customFormat="1">
      <c r="A106" s="3">
        <v>1034</v>
      </c>
      <c r="B106" s="1" t="s">
        <v>244</v>
      </c>
      <c r="C106" s="1" t="s">
        <v>27</v>
      </c>
      <c r="D106" s="1" t="s">
        <v>28</v>
      </c>
      <c r="E106" s="4" t="s">
        <v>14</v>
      </c>
      <c r="F106" s="4">
        <v>81593</v>
      </c>
      <c r="G106" s="4">
        <v>2005</v>
      </c>
      <c r="H106" s="4"/>
      <c r="I106" s="44" t="s">
        <v>245</v>
      </c>
      <c r="J106" s="17">
        <v>516.7362312990831</v>
      </c>
      <c r="K106" s="24">
        <v>554.99490174501227</v>
      </c>
      <c r="L106" s="24">
        <v>535.6</v>
      </c>
      <c r="M106" s="24">
        <v>559.20000000000005</v>
      </c>
      <c r="N106" s="25">
        <v>545.29981392255559</v>
      </c>
      <c r="O106" s="24">
        <v>553.06175982143156</v>
      </c>
      <c r="P106" s="24">
        <v>614.4</v>
      </c>
      <c r="Q106" s="24">
        <v>820.5</v>
      </c>
      <c r="R106" s="24">
        <v>834.12</v>
      </c>
      <c r="S106" s="11">
        <f t="shared" si="18"/>
        <v>871.72703503906689</v>
      </c>
      <c r="T106" s="11">
        <f t="shared" si="18"/>
        <v>908.71097228251881</v>
      </c>
      <c r="U106" s="11">
        <f t="shared" si="18"/>
        <v>945.69490952597073</v>
      </c>
      <c r="V106" s="32">
        <f t="shared" si="15"/>
        <v>8260.0456236356404</v>
      </c>
      <c r="W106" s="33">
        <f t="shared" si="12"/>
        <v>982.67884676942276</v>
      </c>
      <c r="X106" s="33">
        <f t="shared" si="19"/>
        <v>1019.6627840128747</v>
      </c>
      <c r="Y106" s="33">
        <f t="shared" si="19"/>
        <v>1056.6467212563266</v>
      </c>
      <c r="Z106" s="33">
        <f t="shared" si="19"/>
        <v>1093.6306584997785</v>
      </c>
      <c r="AA106" s="33">
        <f t="shared" si="19"/>
        <v>1130.6145957432304</v>
      </c>
      <c r="AB106" s="33">
        <f t="shared" si="19"/>
        <v>1167.5985329866824</v>
      </c>
      <c r="AC106" s="33">
        <f t="shared" si="19"/>
        <v>1204.5824702301343</v>
      </c>
      <c r="AD106" s="33">
        <f t="shared" si="19"/>
        <v>1241.5664074735862</v>
      </c>
      <c r="AE106" s="33">
        <f t="shared" si="19"/>
        <v>1278.5503447170381</v>
      </c>
      <c r="AF106" s="33">
        <f t="shared" si="19"/>
        <v>1315.53428196049</v>
      </c>
      <c r="AG106" s="33">
        <f t="shared" si="19"/>
        <v>1352.518219203942</v>
      </c>
      <c r="AH106" s="33">
        <f t="shared" si="19"/>
        <v>1389.5021564473941</v>
      </c>
      <c r="AI106" s="38">
        <f t="shared" si="13"/>
        <v>14233.086019300899</v>
      </c>
    </row>
    <row r="107" spans="1:35">
      <c r="A107" s="3">
        <v>561</v>
      </c>
      <c r="B107" s="1" t="s">
        <v>246</v>
      </c>
      <c r="C107" s="1" t="s">
        <v>27</v>
      </c>
      <c r="D107" s="1" t="s">
        <v>77</v>
      </c>
      <c r="E107" s="4" t="s">
        <v>14</v>
      </c>
      <c r="F107" s="4">
        <v>81593</v>
      </c>
      <c r="G107" s="4">
        <v>2008</v>
      </c>
      <c r="H107" s="4"/>
      <c r="I107" s="1" t="s">
        <v>247</v>
      </c>
      <c r="J107" s="17">
        <v>625.36682621857585</v>
      </c>
      <c r="K107" s="24">
        <v>686.13429136996581</v>
      </c>
      <c r="L107" s="24">
        <v>709</v>
      </c>
      <c r="M107" s="24">
        <v>878.11</v>
      </c>
      <c r="N107" s="25">
        <v>942.78033956443198</v>
      </c>
      <c r="O107" s="24">
        <v>965.22787043493531</v>
      </c>
      <c r="P107" s="24">
        <v>1004.57</v>
      </c>
      <c r="Q107" s="24">
        <v>1167.05</v>
      </c>
      <c r="R107" s="24">
        <v>1260.45</v>
      </c>
      <c r="S107" s="11">
        <f t="shared" si="18"/>
        <v>1311.5459130980635</v>
      </c>
      <c r="T107" s="11">
        <f t="shared" si="18"/>
        <v>1389.1120599606718</v>
      </c>
      <c r="U107" s="11">
        <f t="shared" si="18"/>
        <v>1466.6782068232801</v>
      </c>
      <c r="V107" s="32">
        <f t="shared" si="15"/>
        <v>12406.025507469923</v>
      </c>
      <c r="W107" s="33">
        <f t="shared" si="12"/>
        <v>1544.2443536858887</v>
      </c>
      <c r="X107" s="33">
        <f t="shared" si="19"/>
        <v>1621.8105005484972</v>
      </c>
      <c r="Y107" s="33">
        <f t="shared" si="19"/>
        <v>1699.3766474111055</v>
      </c>
      <c r="Z107" s="33">
        <f t="shared" si="19"/>
        <v>1776.9427942737138</v>
      </c>
      <c r="AA107" s="33">
        <f t="shared" si="19"/>
        <v>1854.5089411363224</v>
      </c>
      <c r="AB107" s="33">
        <f t="shared" si="19"/>
        <v>1932.0750879989309</v>
      </c>
      <c r="AC107" s="33">
        <f t="shared" si="19"/>
        <v>2009.6412348615393</v>
      </c>
      <c r="AD107" s="33">
        <f t="shared" si="19"/>
        <v>2087.2073817241476</v>
      </c>
      <c r="AE107" s="33">
        <f t="shared" si="19"/>
        <v>2164.7735285867561</v>
      </c>
      <c r="AF107" s="33">
        <f t="shared" si="19"/>
        <v>2242.3396754493647</v>
      </c>
      <c r="AG107" s="33">
        <f t="shared" si="19"/>
        <v>2319.9058223119728</v>
      </c>
      <c r="AH107" s="33">
        <f t="shared" si="19"/>
        <v>2397.4719691745813</v>
      </c>
      <c r="AI107" s="38">
        <f t="shared" si="13"/>
        <v>23650.297937162821</v>
      </c>
    </row>
    <row r="108" spans="1:35">
      <c r="A108" s="27">
        <v>571</v>
      </c>
      <c r="B108" s="28" t="s">
        <v>248</v>
      </c>
      <c r="C108" s="28" t="s">
        <v>12</v>
      </c>
      <c r="D108" s="28" t="s">
        <v>23</v>
      </c>
      <c r="E108" s="29" t="s">
        <v>14</v>
      </c>
      <c r="F108" s="29">
        <v>81593</v>
      </c>
      <c r="G108" s="29">
        <v>2004</v>
      </c>
      <c r="H108" s="39" t="s">
        <v>249</v>
      </c>
      <c r="I108" s="28" t="s">
        <v>250</v>
      </c>
      <c r="J108" s="17">
        <v>88.929972798666256</v>
      </c>
      <c r="K108" s="24">
        <v>93.162226637006242</v>
      </c>
      <c r="L108" s="24">
        <v>89.39</v>
      </c>
      <c r="M108" s="24">
        <v>95.95</v>
      </c>
      <c r="N108" s="25">
        <v>32.375964776323286</v>
      </c>
      <c r="O108" s="24">
        <v>0</v>
      </c>
      <c r="P108" s="24">
        <v>0</v>
      </c>
      <c r="Q108" s="24">
        <v>0</v>
      </c>
      <c r="R108" s="24">
        <v>0</v>
      </c>
      <c r="S108" s="11">
        <f t="shared" si="18"/>
        <v>0</v>
      </c>
      <c r="T108" s="11">
        <f t="shared" si="18"/>
        <v>0</v>
      </c>
      <c r="U108" s="11">
        <f t="shared" si="18"/>
        <v>0</v>
      </c>
      <c r="V108" s="32">
        <f t="shared" si="15"/>
        <v>399.80816421199575</v>
      </c>
      <c r="W108" s="33">
        <f t="shared" si="12"/>
        <v>0</v>
      </c>
      <c r="X108" s="33">
        <f t="shared" si="19"/>
        <v>0</v>
      </c>
      <c r="Y108" s="33">
        <f t="shared" si="19"/>
        <v>0</v>
      </c>
      <c r="Z108" s="33">
        <f t="shared" si="19"/>
        <v>0</v>
      </c>
      <c r="AA108" s="33">
        <f t="shared" si="19"/>
        <v>0</v>
      </c>
      <c r="AB108" s="33">
        <f t="shared" si="19"/>
        <v>0</v>
      </c>
      <c r="AC108" s="33">
        <f t="shared" si="19"/>
        <v>0</v>
      </c>
      <c r="AD108" s="33">
        <f t="shared" si="19"/>
        <v>0</v>
      </c>
      <c r="AE108" s="33">
        <f t="shared" si="19"/>
        <v>0</v>
      </c>
      <c r="AF108" s="33">
        <f t="shared" si="19"/>
        <v>0</v>
      </c>
      <c r="AG108" s="33">
        <f t="shared" si="19"/>
        <v>0</v>
      </c>
      <c r="AH108" s="33">
        <f t="shared" si="19"/>
        <v>0</v>
      </c>
      <c r="AI108" s="38">
        <f t="shared" si="13"/>
        <v>0</v>
      </c>
    </row>
    <row r="109" spans="1:35" s="43" customFormat="1">
      <c r="A109" s="3">
        <v>1117</v>
      </c>
      <c r="B109" s="1" t="s">
        <v>251</v>
      </c>
      <c r="C109" s="1" t="s">
        <v>22</v>
      </c>
      <c r="D109" s="1" t="s">
        <v>28</v>
      </c>
      <c r="E109" s="4" t="s">
        <v>14</v>
      </c>
      <c r="F109" s="4">
        <v>81593</v>
      </c>
      <c r="G109" s="4">
        <v>2010</v>
      </c>
      <c r="H109" s="4"/>
      <c r="I109" s="44" t="s">
        <v>252</v>
      </c>
      <c r="J109" s="17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74.069999999999993</v>
      </c>
      <c r="S109" s="11">
        <f t="shared" si="18"/>
        <v>36.553726511646424</v>
      </c>
      <c r="T109" s="11">
        <f t="shared" si="18"/>
        <v>41.432326559972168</v>
      </c>
      <c r="U109" s="11">
        <f t="shared" si="18"/>
        <v>46.310926608297883</v>
      </c>
      <c r="V109" s="32"/>
      <c r="W109" s="33">
        <f t="shared" si="12"/>
        <v>51.189526656623627</v>
      </c>
      <c r="X109" s="33">
        <f t="shared" si="19"/>
        <v>56.068126704949343</v>
      </c>
      <c r="Y109" s="33">
        <f t="shared" si="19"/>
        <v>60.946726753275094</v>
      </c>
      <c r="Z109" s="33">
        <f t="shared" si="19"/>
        <v>65.825326801600809</v>
      </c>
      <c r="AA109" s="33">
        <f t="shared" si="19"/>
        <v>70.703926849926546</v>
      </c>
      <c r="AB109" s="33">
        <f t="shared" si="19"/>
        <v>75.582526898252269</v>
      </c>
      <c r="AC109" s="33">
        <f t="shared" si="19"/>
        <v>80.461126946578005</v>
      </c>
      <c r="AD109" s="33">
        <f t="shared" si="19"/>
        <v>85.339726994903728</v>
      </c>
      <c r="AE109" s="33">
        <f t="shared" si="19"/>
        <v>90.218327043229465</v>
      </c>
      <c r="AF109" s="33">
        <f t="shared" si="19"/>
        <v>95.096927091555202</v>
      </c>
      <c r="AG109" s="33">
        <f t="shared" si="19"/>
        <v>99.975527139880924</v>
      </c>
      <c r="AH109" s="33">
        <f t="shared" si="19"/>
        <v>104.85412718820665</v>
      </c>
      <c r="AI109" s="38">
        <f t="shared" si="13"/>
        <v>936.26192306898167</v>
      </c>
    </row>
    <row r="110" spans="1:35">
      <c r="A110" s="3">
        <v>888</v>
      </c>
      <c r="B110" s="1" t="s">
        <v>253</v>
      </c>
      <c r="C110" s="1" t="s">
        <v>27</v>
      </c>
      <c r="D110" s="1" t="s">
        <v>77</v>
      </c>
      <c r="E110" s="4" t="s">
        <v>14</v>
      </c>
      <c r="F110" s="4">
        <v>81593</v>
      </c>
      <c r="G110" s="4">
        <v>2008</v>
      </c>
      <c r="H110" s="4"/>
      <c r="I110" s="1" t="s">
        <v>254</v>
      </c>
      <c r="J110" s="17">
        <v>5090.6812659588477</v>
      </c>
      <c r="K110" s="24">
        <v>4529.741890187589</v>
      </c>
      <c r="L110" s="24">
        <v>3919.91</v>
      </c>
      <c r="M110" s="24">
        <v>5589.92</v>
      </c>
      <c r="N110" s="25">
        <v>6690.7538225399821</v>
      </c>
      <c r="O110" s="24">
        <v>6383.0946654963172</v>
      </c>
      <c r="P110" s="24">
        <v>6529.17</v>
      </c>
      <c r="Q110" s="24">
        <v>7605.23</v>
      </c>
      <c r="R110" s="24">
        <v>7922.74</v>
      </c>
      <c r="S110" s="11">
        <f t="shared" si="18"/>
        <v>8323.0854185718636</v>
      </c>
      <c r="T110" s="11">
        <f t="shared" si="18"/>
        <v>8764.380371901716</v>
      </c>
      <c r="U110" s="11">
        <f t="shared" si="18"/>
        <v>9205.6753252315684</v>
      </c>
      <c r="V110" s="32">
        <f t="shared" si="15"/>
        <v>80554.382759887871</v>
      </c>
      <c r="W110" s="33">
        <f t="shared" si="12"/>
        <v>9646.9702785614227</v>
      </c>
      <c r="X110" s="33">
        <f t="shared" si="19"/>
        <v>10088.265231891277</v>
      </c>
      <c r="Y110" s="33">
        <f t="shared" si="19"/>
        <v>10529.560185221129</v>
      </c>
      <c r="Z110" s="33">
        <f t="shared" si="19"/>
        <v>10970.855138550982</v>
      </c>
      <c r="AA110" s="33">
        <f t="shared" si="19"/>
        <v>11412.150091880836</v>
      </c>
      <c r="AB110" s="33">
        <f t="shared" si="19"/>
        <v>11853.44504521069</v>
      </c>
      <c r="AC110" s="33">
        <f t="shared" si="19"/>
        <v>12294.739998540543</v>
      </c>
      <c r="AD110" s="33">
        <f t="shared" si="19"/>
        <v>12736.034951870395</v>
      </c>
      <c r="AE110" s="33">
        <f t="shared" si="19"/>
        <v>13177.329905200249</v>
      </c>
      <c r="AF110" s="33">
        <f t="shared" si="19"/>
        <v>13618.624858530104</v>
      </c>
      <c r="AG110" s="33">
        <f t="shared" si="19"/>
        <v>14059.919811859956</v>
      </c>
      <c r="AH110" s="33">
        <f t="shared" si="19"/>
        <v>14501.214765189809</v>
      </c>
      <c r="AI110" s="38">
        <f t="shared" si="13"/>
        <v>144889.1102625074</v>
      </c>
    </row>
    <row r="111" spans="1:35" s="43" customFormat="1">
      <c r="A111" s="3">
        <v>328</v>
      </c>
      <c r="B111" s="1" t="s">
        <v>255</v>
      </c>
      <c r="C111" s="1" t="s">
        <v>27</v>
      </c>
      <c r="D111" s="1" t="s">
        <v>44</v>
      </c>
      <c r="E111" s="45" t="s">
        <v>256</v>
      </c>
      <c r="F111" s="44">
        <v>538307</v>
      </c>
      <c r="G111" s="44">
        <v>500</v>
      </c>
      <c r="H111" s="44"/>
      <c r="I111" s="44" t="s">
        <v>257</v>
      </c>
      <c r="J111" s="17">
        <v>430.77</v>
      </c>
      <c r="K111" s="24">
        <v>536.76</v>
      </c>
      <c r="L111" s="24">
        <v>597.55999999999995</v>
      </c>
      <c r="M111" s="24">
        <v>617.80999999999995</v>
      </c>
      <c r="N111" s="25">
        <v>561.62</v>
      </c>
      <c r="O111" s="24">
        <v>604.16999999999996</v>
      </c>
      <c r="P111" s="24">
        <v>732.28</v>
      </c>
      <c r="Q111" s="24">
        <v>641.03</v>
      </c>
      <c r="R111" s="24">
        <v>643.03</v>
      </c>
      <c r="S111" s="11">
        <f t="shared" si="18"/>
        <v>694.14650972793663</v>
      </c>
      <c r="T111" s="11">
        <f t="shared" si="18"/>
        <v>717.87313201739653</v>
      </c>
      <c r="U111" s="11">
        <f t="shared" si="18"/>
        <v>741.59975430685631</v>
      </c>
      <c r="V111" s="32">
        <f t="shared" ref="V111" si="20">SUM(J111:U111)</f>
        <v>7518.6493960521884</v>
      </c>
      <c r="W111" s="33">
        <f t="shared" si="12"/>
        <v>765.32637659631609</v>
      </c>
      <c r="X111" s="33">
        <f t="shared" si="19"/>
        <v>789.05299888577588</v>
      </c>
      <c r="Y111" s="33">
        <f t="shared" si="19"/>
        <v>812.77962117523577</v>
      </c>
      <c r="Z111" s="33">
        <f t="shared" si="19"/>
        <v>836.50624346469556</v>
      </c>
      <c r="AA111" s="33">
        <f t="shared" si="19"/>
        <v>860.23286575415534</v>
      </c>
      <c r="AB111" s="33">
        <f t="shared" si="19"/>
        <v>883.95948804361524</v>
      </c>
      <c r="AC111" s="33">
        <f t="shared" si="19"/>
        <v>907.68611033307502</v>
      </c>
      <c r="AD111" s="33">
        <f t="shared" si="19"/>
        <v>931.4127326225348</v>
      </c>
      <c r="AE111" s="33">
        <f t="shared" si="19"/>
        <v>955.13935491199459</v>
      </c>
      <c r="AF111" s="33">
        <f t="shared" si="19"/>
        <v>978.86597720145437</v>
      </c>
      <c r="AG111" s="33">
        <f t="shared" si="19"/>
        <v>1002.5925994909143</v>
      </c>
      <c r="AH111" s="33">
        <f t="shared" si="19"/>
        <v>1026.3192217803739</v>
      </c>
      <c r="AI111" s="38">
        <f t="shared" si="13"/>
        <v>10749.87359026014</v>
      </c>
    </row>
    <row r="112" spans="1:35">
      <c r="A112" s="3">
        <v>322</v>
      </c>
      <c r="B112" s="1" t="s">
        <v>258</v>
      </c>
      <c r="C112" s="1" t="s">
        <v>27</v>
      </c>
      <c r="D112" s="1" t="s">
        <v>77</v>
      </c>
      <c r="E112" s="4" t="s">
        <v>14</v>
      </c>
      <c r="F112" s="4">
        <v>81593</v>
      </c>
      <c r="G112" s="4">
        <v>2008</v>
      </c>
      <c r="H112" s="4"/>
      <c r="I112" s="1" t="s">
        <v>259</v>
      </c>
      <c r="J112" s="17">
        <v>815.41173452375733</v>
      </c>
      <c r="K112" s="24">
        <v>784.63321311566983</v>
      </c>
      <c r="L112" s="24">
        <v>917.26</v>
      </c>
      <c r="M112" s="24">
        <v>1271.98</v>
      </c>
      <c r="N112" s="25">
        <v>3235.6373899433734</v>
      </c>
      <c r="O112" s="24">
        <v>1574.2150571338198</v>
      </c>
      <c r="P112" s="24">
        <v>1440.79</v>
      </c>
      <c r="Q112" s="24">
        <v>1617.4</v>
      </c>
      <c r="R112" s="24">
        <v>1606.15</v>
      </c>
      <c r="S112" s="11">
        <f t="shared" si="18"/>
        <v>1878.9113186109191</v>
      </c>
      <c r="T112" s="11">
        <f t="shared" si="18"/>
        <v>1997.4435428638415</v>
      </c>
      <c r="U112" s="11">
        <f t="shared" si="18"/>
        <v>2115.9757671167631</v>
      </c>
      <c r="V112" s="32">
        <f t="shared" si="15"/>
        <v>19255.808023308145</v>
      </c>
      <c r="W112" s="33">
        <f t="shared" si="12"/>
        <v>2234.5079913696845</v>
      </c>
      <c r="X112" s="33">
        <f t="shared" si="19"/>
        <v>2353.0402156226064</v>
      </c>
      <c r="Y112" s="33">
        <f t="shared" si="19"/>
        <v>2471.5724398755283</v>
      </c>
      <c r="Z112" s="33">
        <f t="shared" si="19"/>
        <v>2590.1046641284502</v>
      </c>
      <c r="AA112" s="33">
        <f t="shared" si="19"/>
        <v>2708.636888381372</v>
      </c>
      <c r="AB112" s="33">
        <f t="shared" si="19"/>
        <v>2827.1691126342939</v>
      </c>
      <c r="AC112" s="33">
        <f t="shared" si="19"/>
        <v>2945.7013368872158</v>
      </c>
      <c r="AD112" s="33">
        <f t="shared" si="19"/>
        <v>3064.2335611401377</v>
      </c>
      <c r="AE112" s="33">
        <f t="shared" si="19"/>
        <v>3182.7657853930596</v>
      </c>
      <c r="AF112" s="33">
        <f t="shared" si="19"/>
        <v>3301.2980096459814</v>
      </c>
      <c r="AG112" s="33">
        <f t="shared" si="19"/>
        <v>3419.8302338989029</v>
      </c>
      <c r="AH112" s="33">
        <f t="shared" si="19"/>
        <v>3538.3624581518247</v>
      </c>
      <c r="AI112" s="38">
        <f t="shared" si="13"/>
        <v>34637.222697129051</v>
      </c>
    </row>
    <row r="113" spans="1:35">
      <c r="A113" s="3">
        <v>659</v>
      </c>
      <c r="B113" s="1" t="s">
        <v>260</v>
      </c>
      <c r="C113" s="1" t="s">
        <v>12</v>
      </c>
      <c r="D113" s="1" t="s">
        <v>19</v>
      </c>
      <c r="E113" s="4" t="s">
        <v>14</v>
      </c>
      <c r="F113" s="4">
        <v>81593</v>
      </c>
      <c r="G113" s="4">
        <v>1107</v>
      </c>
      <c r="H113" s="4"/>
      <c r="I113" s="1" t="s">
        <v>261</v>
      </c>
      <c r="J113" s="17">
        <v>5154.6763063221169</v>
      </c>
      <c r="K113" s="24">
        <v>5284.8682058986551</v>
      </c>
      <c r="L113" s="24">
        <v>5170.71</v>
      </c>
      <c r="M113" s="24">
        <v>5297.75</v>
      </c>
      <c r="N113" s="25">
        <v>5490.0983623351412</v>
      </c>
      <c r="O113" s="24">
        <v>5383.6151495197691</v>
      </c>
      <c r="P113" s="24">
        <v>5579.88</v>
      </c>
      <c r="Q113" s="24">
        <v>5801.15</v>
      </c>
      <c r="R113" s="24">
        <v>5850.32</v>
      </c>
      <c r="S113" s="11">
        <f t="shared" si="18"/>
        <v>5899.8308522745474</v>
      </c>
      <c r="T113" s="11">
        <f t="shared" si="18"/>
        <v>5986.788099208834</v>
      </c>
      <c r="U113" s="11">
        <f t="shared" si="18"/>
        <v>6073.7453461431205</v>
      </c>
      <c r="V113" s="32">
        <f t="shared" si="15"/>
        <v>66973.432321702188</v>
      </c>
      <c r="W113" s="33">
        <f t="shared" si="12"/>
        <v>6160.7025930774071</v>
      </c>
      <c r="X113" s="33">
        <f t="shared" si="19"/>
        <v>6247.6598400116927</v>
      </c>
      <c r="Y113" s="33">
        <f t="shared" si="19"/>
        <v>6334.6170869459793</v>
      </c>
      <c r="Z113" s="33">
        <f t="shared" si="19"/>
        <v>6421.5743338802658</v>
      </c>
      <c r="AA113" s="33">
        <f t="shared" si="19"/>
        <v>6508.5315808145524</v>
      </c>
      <c r="AB113" s="33">
        <f t="shared" si="19"/>
        <v>6595.488827748839</v>
      </c>
      <c r="AC113" s="33">
        <f t="shared" si="19"/>
        <v>6682.4460746831255</v>
      </c>
      <c r="AD113" s="33">
        <f t="shared" si="19"/>
        <v>6769.4033216174121</v>
      </c>
      <c r="AE113" s="33">
        <f t="shared" si="19"/>
        <v>6856.3605685516977</v>
      </c>
      <c r="AF113" s="33">
        <f t="shared" si="19"/>
        <v>6943.3178154859852</v>
      </c>
      <c r="AG113" s="33">
        <f t="shared" si="19"/>
        <v>7030.2750624202708</v>
      </c>
      <c r="AH113" s="33">
        <f t="shared" si="19"/>
        <v>7117.2323093545574</v>
      </c>
      <c r="AI113" s="38">
        <f t="shared" si="13"/>
        <v>79667.609414591789</v>
      </c>
    </row>
    <row r="114" spans="1:35">
      <c r="A114" s="27">
        <v>790</v>
      </c>
      <c r="B114" s="28" t="s">
        <v>262</v>
      </c>
      <c r="C114" s="28" t="s">
        <v>22</v>
      </c>
      <c r="D114" s="28" t="s">
        <v>77</v>
      </c>
      <c r="E114" s="29" t="s">
        <v>14</v>
      </c>
      <c r="F114" s="29">
        <v>81593</v>
      </c>
      <c r="G114" s="29">
        <v>2009</v>
      </c>
      <c r="H114" s="39" t="s">
        <v>263</v>
      </c>
      <c r="I114" s="28" t="s">
        <v>264</v>
      </c>
      <c r="J114" s="17">
        <v>1205.1599730180319</v>
      </c>
      <c r="K114" s="24">
        <v>871.66733094048402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11">
        <f t="shared" si="18"/>
        <v>0</v>
      </c>
      <c r="T114" s="11">
        <f t="shared" si="18"/>
        <v>0</v>
      </c>
      <c r="U114" s="11">
        <f t="shared" si="18"/>
        <v>0</v>
      </c>
      <c r="V114" s="32">
        <f t="shared" si="15"/>
        <v>2076.827303958516</v>
      </c>
      <c r="W114" s="33">
        <f t="shared" si="12"/>
        <v>0</v>
      </c>
      <c r="X114" s="33">
        <f t="shared" si="19"/>
        <v>0</v>
      </c>
      <c r="Y114" s="33">
        <f t="shared" si="19"/>
        <v>0</v>
      </c>
      <c r="Z114" s="33">
        <f t="shared" si="19"/>
        <v>0</v>
      </c>
      <c r="AA114" s="33">
        <f t="shared" si="19"/>
        <v>0</v>
      </c>
      <c r="AB114" s="33">
        <f t="shared" si="19"/>
        <v>0</v>
      </c>
      <c r="AC114" s="33">
        <f t="shared" si="19"/>
        <v>0</v>
      </c>
      <c r="AD114" s="33">
        <f t="shared" si="19"/>
        <v>0</v>
      </c>
      <c r="AE114" s="33">
        <f t="shared" si="19"/>
        <v>0</v>
      </c>
      <c r="AF114" s="33">
        <f t="shared" si="19"/>
        <v>0</v>
      </c>
      <c r="AG114" s="33">
        <f t="shared" si="19"/>
        <v>0</v>
      </c>
      <c r="AH114" s="33">
        <f t="shared" si="19"/>
        <v>0</v>
      </c>
      <c r="AI114" s="38">
        <f t="shared" si="13"/>
        <v>0</v>
      </c>
    </row>
    <row r="115" spans="1:35">
      <c r="A115" s="27">
        <v>572</v>
      </c>
      <c r="B115" s="28" t="s">
        <v>265</v>
      </c>
      <c r="C115" s="28" t="s">
        <v>22</v>
      </c>
      <c r="D115" s="28" t="s">
        <v>23</v>
      </c>
      <c r="E115" s="29" t="s">
        <v>14</v>
      </c>
      <c r="F115" s="29">
        <v>81593</v>
      </c>
      <c r="G115" s="29">
        <v>2009</v>
      </c>
      <c r="H115" s="29"/>
      <c r="I115" s="28" t="s">
        <v>266</v>
      </c>
      <c r="J115" s="17">
        <v>23.282553415522308</v>
      </c>
      <c r="K115" s="24">
        <v>271.43351073897583</v>
      </c>
      <c r="L115" s="24">
        <v>32.130000000000003</v>
      </c>
      <c r="M115" s="24">
        <v>26.16</v>
      </c>
      <c r="N115" s="25">
        <v>27.090509448830229</v>
      </c>
      <c r="O115" s="24">
        <v>324.83887795486044</v>
      </c>
      <c r="P115" s="24">
        <v>176.43</v>
      </c>
      <c r="Q115" s="24">
        <v>30.5</v>
      </c>
      <c r="R115" s="24">
        <v>0</v>
      </c>
      <c r="S115" s="11">
        <f t="shared" si="18"/>
        <v>0</v>
      </c>
      <c r="T115" s="11">
        <f t="shared" si="18"/>
        <v>0</v>
      </c>
      <c r="U115" s="11">
        <f t="shared" si="18"/>
        <v>0</v>
      </c>
      <c r="V115" s="32">
        <f t="shared" si="15"/>
        <v>911.86545155818885</v>
      </c>
      <c r="W115" s="33">
        <f t="shared" si="12"/>
        <v>0</v>
      </c>
      <c r="X115" s="33">
        <f t="shared" si="19"/>
        <v>0</v>
      </c>
      <c r="Y115" s="33">
        <f t="shared" si="19"/>
        <v>0</v>
      </c>
      <c r="Z115" s="33">
        <f t="shared" si="19"/>
        <v>0</v>
      </c>
      <c r="AA115" s="33">
        <f t="shared" si="19"/>
        <v>0</v>
      </c>
      <c r="AB115" s="33">
        <f t="shared" si="19"/>
        <v>0</v>
      </c>
      <c r="AC115" s="33">
        <f t="shared" si="19"/>
        <v>0</v>
      </c>
      <c r="AD115" s="33">
        <f t="shared" si="19"/>
        <v>0</v>
      </c>
      <c r="AE115" s="33">
        <f t="shared" si="19"/>
        <v>0</v>
      </c>
      <c r="AF115" s="33">
        <f t="shared" si="19"/>
        <v>0</v>
      </c>
      <c r="AG115" s="33">
        <f t="shared" si="19"/>
        <v>0</v>
      </c>
      <c r="AH115" s="33">
        <f t="shared" si="19"/>
        <v>0</v>
      </c>
      <c r="AI115" s="38">
        <f t="shared" si="13"/>
        <v>0</v>
      </c>
    </row>
    <row r="116" spans="1:35">
      <c r="A116" s="3">
        <v>496</v>
      </c>
      <c r="B116" s="1" t="s">
        <v>267</v>
      </c>
      <c r="C116" s="1" t="s">
        <v>22</v>
      </c>
      <c r="D116" s="1" t="s">
        <v>23</v>
      </c>
      <c r="E116" s="4" t="s">
        <v>14</v>
      </c>
      <c r="F116" s="4">
        <v>81593</v>
      </c>
      <c r="G116" s="4">
        <v>2009</v>
      </c>
      <c r="H116" s="4"/>
      <c r="I116" s="1" t="s">
        <v>268</v>
      </c>
      <c r="J116" s="17">
        <v>1738.0575371824682</v>
      </c>
      <c r="K116" s="24">
        <v>1814.6260638741128</v>
      </c>
      <c r="L116" s="24">
        <v>1996.72</v>
      </c>
      <c r="M116" s="24">
        <v>2162.06</v>
      </c>
      <c r="N116" s="25">
        <v>2167.057091435579</v>
      </c>
      <c r="O116" s="24">
        <v>2141.0653273750372</v>
      </c>
      <c r="P116" s="24">
        <v>2318.5700000000002</v>
      </c>
      <c r="Q116" s="24">
        <v>2469.2199999999998</v>
      </c>
      <c r="R116" s="24">
        <v>2588.7600000000002</v>
      </c>
      <c r="S116" s="11">
        <f t="shared" si="18"/>
        <v>2637.555976939288</v>
      </c>
      <c r="T116" s="11">
        <f t="shared" si="18"/>
        <v>2737.5342230861606</v>
      </c>
      <c r="U116" s="11">
        <f t="shared" si="18"/>
        <v>2837.5124692330328</v>
      </c>
      <c r="V116" s="32">
        <f t="shared" si="15"/>
        <v>27608.738689125679</v>
      </c>
      <c r="W116" s="33">
        <f t="shared" si="12"/>
        <v>2937.4907153799049</v>
      </c>
      <c r="X116" s="33">
        <f t="shared" si="19"/>
        <v>3037.4689615267771</v>
      </c>
      <c r="Y116" s="33">
        <f t="shared" si="19"/>
        <v>3137.4472076736492</v>
      </c>
      <c r="Z116" s="33">
        <f t="shared" si="19"/>
        <v>3237.4254538205219</v>
      </c>
      <c r="AA116" s="33">
        <f t="shared" si="19"/>
        <v>3337.403699967394</v>
      </c>
      <c r="AB116" s="33">
        <f t="shared" si="19"/>
        <v>3437.3819461142662</v>
      </c>
      <c r="AC116" s="33">
        <f t="shared" si="19"/>
        <v>3537.3601922611388</v>
      </c>
      <c r="AD116" s="33">
        <f t="shared" si="19"/>
        <v>3637.3384384080109</v>
      </c>
      <c r="AE116" s="33">
        <f t="shared" si="19"/>
        <v>3737.3166845548831</v>
      </c>
      <c r="AF116" s="33">
        <f t="shared" si="19"/>
        <v>3837.2949307017552</v>
      </c>
      <c r="AG116" s="33">
        <f t="shared" si="19"/>
        <v>3937.2731768486274</v>
      </c>
      <c r="AH116" s="33">
        <f t="shared" si="19"/>
        <v>4037.2514229955</v>
      </c>
      <c r="AI116" s="38">
        <f t="shared" si="13"/>
        <v>41848.452830252427</v>
      </c>
    </row>
    <row r="117" spans="1:35" s="15" customFormat="1">
      <c r="A117" s="3">
        <v>1096</v>
      </c>
      <c r="B117" s="1" t="s">
        <v>269</v>
      </c>
      <c r="C117" s="1" t="s">
        <v>27</v>
      </c>
      <c r="D117" s="1" t="s">
        <v>44</v>
      </c>
      <c r="E117" s="45" t="s">
        <v>14</v>
      </c>
      <c r="F117" s="44">
        <v>81593</v>
      </c>
      <c r="G117" s="44">
        <v>2008</v>
      </c>
      <c r="H117" s="44"/>
      <c r="I117" s="44" t="s">
        <v>270</v>
      </c>
      <c r="J117" s="17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410.3</v>
      </c>
      <c r="Q117" s="24">
        <v>589.67999999999995</v>
      </c>
      <c r="R117" s="24">
        <v>591.46</v>
      </c>
      <c r="S117" s="11">
        <f t="shared" si="18"/>
        <v>680.7764826400803</v>
      </c>
      <c r="T117" s="11">
        <f t="shared" si="18"/>
        <v>763.30001120009638</v>
      </c>
      <c r="U117" s="11">
        <f t="shared" si="18"/>
        <v>845.82353976011245</v>
      </c>
      <c r="V117" s="32">
        <f t="shared" si="15"/>
        <v>3881.3400336002892</v>
      </c>
      <c r="W117" s="33">
        <f t="shared" si="12"/>
        <v>928.34706832012841</v>
      </c>
      <c r="X117" s="33">
        <f t="shared" si="19"/>
        <v>1010.8705968801444</v>
      </c>
      <c r="Y117" s="33">
        <f t="shared" si="19"/>
        <v>1093.3941254401605</v>
      </c>
      <c r="Z117" s="33">
        <f t="shared" si="19"/>
        <v>1175.9176540001763</v>
      </c>
      <c r="AA117" s="33">
        <f t="shared" si="19"/>
        <v>1258.4411825601924</v>
      </c>
      <c r="AB117" s="33">
        <f t="shared" si="19"/>
        <v>1340.9647111202084</v>
      </c>
      <c r="AC117" s="33">
        <f t="shared" si="19"/>
        <v>1423.4882396802245</v>
      </c>
      <c r="AD117" s="33">
        <f t="shared" si="19"/>
        <v>1506.0117682402406</v>
      </c>
      <c r="AE117" s="33">
        <f t="shared" si="19"/>
        <v>1588.5352968002567</v>
      </c>
      <c r="AF117" s="33">
        <f t="shared" si="19"/>
        <v>1671.0588253602727</v>
      </c>
      <c r="AG117" s="33">
        <f t="shared" si="19"/>
        <v>1753.5823539202884</v>
      </c>
      <c r="AH117" s="33">
        <f t="shared" si="19"/>
        <v>1836.1058824803044</v>
      </c>
      <c r="AI117" s="38">
        <f t="shared" si="13"/>
        <v>16586.717704802599</v>
      </c>
    </row>
    <row r="118" spans="1:35">
      <c r="A118" s="3">
        <v>649</v>
      </c>
      <c r="B118" s="1" t="s">
        <v>271</v>
      </c>
      <c r="C118" s="1" t="s">
        <v>22</v>
      </c>
      <c r="D118" s="1" t="s">
        <v>34</v>
      </c>
      <c r="E118" s="4" t="s">
        <v>14</v>
      </c>
      <c r="F118" s="4">
        <v>81593</v>
      </c>
      <c r="G118" s="4">
        <v>2011</v>
      </c>
      <c r="H118" s="4"/>
      <c r="I118" s="1" t="s">
        <v>272</v>
      </c>
      <c r="J118" s="17">
        <v>2408.0705784670731</v>
      </c>
      <c r="K118" s="24">
        <v>2045.3552427820191</v>
      </c>
      <c r="L118" s="24">
        <v>1007.93</v>
      </c>
      <c r="M118" s="24">
        <v>718.37</v>
      </c>
      <c r="N118" s="25">
        <v>1017.1236359275872</v>
      </c>
      <c r="O118" s="24">
        <v>648.58496021211545</v>
      </c>
      <c r="P118" s="24">
        <v>643.20000000000005</v>
      </c>
      <c r="Q118" s="24">
        <v>658.74</v>
      </c>
      <c r="R118" s="24">
        <v>646.5</v>
      </c>
      <c r="S118" s="11">
        <f t="shared" si="18"/>
        <v>425.04158959342135</v>
      </c>
      <c r="T118" s="11">
        <f t="shared" si="18"/>
        <v>224.75529125232387</v>
      </c>
      <c r="U118" s="11">
        <f t="shared" si="18"/>
        <v>24.468992911226309</v>
      </c>
      <c r="V118" s="32">
        <f t="shared" si="15"/>
        <v>10468.140291145768</v>
      </c>
      <c r="W118" s="33">
        <f t="shared" si="12"/>
        <v>0</v>
      </c>
      <c r="X118" s="33">
        <f t="shared" si="19"/>
        <v>0</v>
      </c>
      <c r="Y118" s="33">
        <f t="shared" si="19"/>
        <v>0</v>
      </c>
      <c r="Z118" s="33">
        <f t="shared" si="19"/>
        <v>0</v>
      </c>
      <c r="AA118" s="33">
        <f t="shared" si="19"/>
        <v>0</v>
      </c>
      <c r="AB118" s="33">
        <f t="shared" si="19"/>
        <v>0</v>
      </c>
      <c r="AC118" s="33">
        <f t="shared" si="19"/>
        <v>0</v>
      </c>
      <c r="AD118" s="33">
        <f t="shared" si="19"/>
        <v>0</v>
      </c>
      <c r="AE118" s="33">
        <f t="shared" si="19"/>
        <v>0</v>
      </c>
      <c r="AF118" s="33">
        <f t="shared" si="19"/>
        <v>0</v>
      </c>
      <c r="AG118" s="33">
        <f t="shared" si="19"/>
        <v>0</v>
      </c>
      <c r="AH118" s="33">
        <f t="shared" si="19"/>
        <v>0</v>
      </c>
      <c r="AI118" s="38">
        <f t="shared" si="13"/>
        <v>0</v>
      </c>
    </row>
    <row r="119" spans="1:35">
      <c r="A119" s="3">
        <v>673</v>
      </c>
      <c r="B119" s="1" t="s">
        <v>273</v>
      </c>
      <c r="C119" s="1" t="s">
        <v>27</v>
      </c>
      <c r="D119" s="1" t="s">
        <v>34</v>
      </c>
      <c r="E119" s="4" t="s">
        <v>14</v>
      </c>
      <c r="F119" s="4">
        <v>81593</v>
      </c>
      <c r="G119" s="4">
        <v>2006</v>
      </c>
      <c r="H119" s="4"/>
      <c r="I119" s="1" t="s">
        <v>274</v>
      </c>
      <c r="J119" s="17">
        <v>1372.7218661431143</v>
      </c>
      <c r="K119" s="24">
        <v>1317.8214588954822</v>
      </c>
      <c r="L119" s="24">
        <v>1251.8599999999999</v>
      </c>
      <c r="M119" s="24">
        <v>1445.63</v>
      </c>
      <c r="N119" s="25">
        <v>1409.2268740065506</v>
      </c>
      <c r="O119" s="24">
        <v>1220.524230025515</v>
      </c>
      <c r="P119" s="24">
        <v>1232.24</v>
      </c>
      <c r="Q119" s="24">
        <v>1318.65</v>
      </c>
      <c r="R119" s="24">
        <v>1337.51</v>
      </c>
      <c r="S119" s="11">
        <f t="shared" si="18"/>
        <v>1310.8895870295421</v>
      </c>
      <c r="T119" s="11">
        <f t="shared" si="18"/>
        <v>1303.975319928122</v>
      </c>
      <c r="U119" s="11">
        <f t="shared" si="18"/>
        <v>1297.0610528267018</v>
      </c>
      <c r="V119" s="32">
        <f t="shared" si="15"/>
        <v>15818.11038885503</v>
      </c>
      <c r="W119" s="33">
        <f t="shared" si="12"/>
        <v>1290.1467857252817</v>
      </c>
      <c r="X119" s="33">
        <f t="shared" si="19"/>
        <v>1283.2325186238616</v>
      </c>
      <c r="Y119" s="33">
        <f t="shared" si="19"/>
        <v>1276.3182515224414</v>
      </c>
      <c r="Z119" s="33">
        <f t="shared" si="19"/>
        <v>1269.4039844210213</v>
      </c>
      <c r="AA119" s="33">
        <f t="shared" si="19"/>
        <v>1262.4897173196011</v>
      </c>
      <c r="AB119" s="33">
        <f t="shared" si="19"/>
        <v>1255.575450218181</v>
      </c>
      <c r="AC119" s="33">
        <f t="shared" si="19"/>
        <v>1248.6611831167609</v>
      </c>
      <c r="AD119" s="33">
        <f t="shared" si="19"/>
        <v>1241.7469160153407</v>
      </c>
      <c r="AE119" s="33">
        <f t="shared" si="19"/>
        <v>1234.8326489139206</v>
      </c>
      <c r="AF119" s="33">
        <f t="shared" si="19"/>
        <v>1227.9183818125005</v>
      </c>
      <c r="AG119" s="33">
        <f t="shared" si="19"/>
        <v>1221.0041147110803</v>
      </c>
      <c r="AH119" s="33">
        <f t="shared" si="19"/>
        <v>1214.0898476096602</v>
      </c>
      <c r="AI119" s="38">
        <f t="shared" si="13"/>
        <v>15025.419800009651</v>
      </c>
    </row>
    <row r="120" spans="1:35" s="43" customFormat="1">
      <c r="A120" s="3">
        <v>961</v>
      </c>
      <c r="B120" s="1" t="s">
        <v>275</v>
      </c>
      <c r="C120" s="1" t="s">
        <v>12</v>
      </c>
      <c r="D120" s="1" t="s">
        <v>19</v>
      </c>
      <c r="E120" s="45" t="s">
        <v>14</v>
      </c>
      <c r="F120" s="44">
        <v>81593</v>
      </c>
      <c r="G120" s="44">
        <v>1107</v>
      </c>
      <c r="H120" s="44"/>
      <c r="I120" s="44" t="s">
        <v>276</v>
      </c>
      <c r="J120" s="17">
        <v>878.76714429868821</v>
      </c>
      <c r="K120" s="24">
        <v>861.38964757483564</v>
      </c>
      <c r="L120" s="24">
        <v>841.85</v>
      </c>
      <c r="M120" s="24">
        <v>869.71</v>
      </c>
      <c r="N120" s="25">
        <v>877.91617061293891</v>
      </c>
      <c r="O120" s="24">
        <v>863.92999474023861</v>
      </c>
      <c r="P120" s="24">
        <v>1258.97</v>
      </c>
      <c r="Q120" s="24">
        <v>1462.49</v>
      </c>
      <c r="R120" s="24">
        <v>1472.04</v>
      </c>
      <c r="S120" s="11">
        <f t="shared" si="18"/>
        <v>1561.2608768695418</v>
      </c>
      <c r="T120" s="11">
        <f t="shared" si="18"/>
        <v>1644.6011342249353</v>
      </c>
      <c r="U120" s="11">
        <f t="shared" si="18"/>
        <v>1727.9413915803291</v>
      </c>
      <c r="V120" s="32">
        <f t="shared" si="15"/>
        <v>14320.866359901509</v>
      </c>
      <c r="W120" s="33">
        <f t="shared" si="12"/>
        <v>1811.2816489357228</v>
      </c>
      <c r="X120" s="33">
        <f t="shared" si="19"/>
        <v>1894.6219062911164</v>
      </c>
      <c r="Y120" s="33">
        <f t="shared" si="19"/>
        <v>1977.9621636465101</v>
      </c>
      <c r="Z120" s="33">
        <f t="shared" si="19"/>
        <v>2061.3024210019039</v>
      </c>
      <c r="AA120" s="33">
        <f t="shared" si="19"/>
        <v>2144.6426783572974</v>
      </c>
      <c r="AB120" s="33">
        <f t="shared" si="19"/>
        <v>2227.982935712691</v>
      </c>
      <c r="AC120" s="33">
        <f t="shared" si="19"/>
        <v>2311.3231930680849</v>
      </c>
      <c r="AD120" s="33">
        <f t="shared" si="19"/>
        <v>2394.6634504234785</v>
      </c>
      <c r="AE120" s="33">
        <f t="shared" si="19"/>
        <v>2478.003707778872</v>
      </c>
      <c r="AF120" s="33">
        <f t="shared" si="19"/>
        <v>2561.343965134266</v>
      </c>
      <c r="AG120" s="33">
        <f t="shared" si="19"/>
        <v>2644.6842224896595</v>
      </c>
      <c r="AH120" s="33">
        <f t="shared" si="19"/>
        <v>2728.0244798450531</v>
      </c>
      <c r="AI120" s="38">
        <f t="shared" si="13"/>
        <v>27235.836772684655</v>
      </c>
    </row>
    <row r="121" spans="1:35" s="43" customFormat="1">
      <c r="A121" s="3">
        <v>959</v>
      </c>
      <c r="B121" s="1" t="s">
        <v>277</v>
      </c>
      <c r="C121" s="1" t="s">
        <v>12</v>
      </c>
      <c r="D121" s="1" t="s">
        <v>19</v>
      </c>
      <c r="E121" s="45" t="s">
        <v>14</v>
      </c>
      <c r="F121" s="44">
        <v>81593</v>
      </c>
      <c r="G121" s="44">
        <v>1107</v>
      </c>
      <c r="H121" s="44"/>
      <c r="I121" s="44" t="s">
        <v>278</v>
      </c>
      <c r="J121" s="17">
        <v>39.369262712236214</v>
      </c>
      <c r="K121" s="24">
        <v>43.292468537091175</v>
      </c>
      <c r="L121" s="24">
        <v>43.31</v>
      </c>
      <c r="M121" s="24">
        <v>45</v>
      </c>
      <c r="N121" s="25">
        <v>45.426345787643008</v>
      </c>
      <c r="O121" s="24">
        <v>46.915219213863253</v>
      </c>
      <c r="P121" s="24">
        <v>46.05</v>
      </c>
      <c r="Q121" s="24">
        <v>50.71</v>
      </c>
      <c r="R121" s="24">
        <v>50.83</v>
      </c>
      <c r="S121" s="11">
        <f t="shared" si="18"/>
        <v>51.885038744743156</v>
      </c>
      <c r="T121" s="11">
        <f t="shared" si="18"/>
        <v>53.147863569487058</v>
      </c>
      <c r="U121" s="11">
        <f t="shared" si="18"/>
        <v>54.410688394230959</v>
      </c>
      <c r="V121" s="32">
        <f t="shared" si="15"/>
        <v>570.34688695929481</v>
      </c>
      <c r="W121" s="33">
        <f t="shared" si="12"/>
        <v>55.673513218974861</v>
      </c>
      <c r="X121" s="33">
        <f t="shared" si="19"/>
        <v>56.936338043718763</v>
      </c>
      <c r="Y121" s="33">
        <f t="shared" si="19"/>
        <v>58.199162868462665</v>
      </c>
      <c r="Z121" s="33">
        <f t="shared" si="19"/>
        <v>59.461987693206574</v>
      </c>
      <c r="AA121" s="33">
        <f t="shared" si="19"/>
        <v>60.724812517950475</v>
      </c>
      <c r="AB121" s="33">
        <f t="shared" si="19"/>
        <v>61.987637342694377</v>
      </c>
      <c r="AC121" s="33">
        <f t="shared" si="19"/>
        <v>63.250462167438279</v>
      </c>
      <c r="AD121" s="33">
        <f t="shared" si="19"/>
        <v>64.513286992182174</v>
      </c>
      <c r="AE121" s="33">
        <f t="shared" si="19"/>
        <v>65.77611181692609</v>
      </c>
      <c r="AF121" s="33">
        <f t="shared" si="19"/>
        <v>67.038936641669977</v>
      </c>
      <c r="AG121" s="33">
        <f t="shared" si="19"/>
        <v>68.301761466413893</v>
      </c>
      <c r="AH121" s="33">
        <f t="shared" si="19"/>
        <v>69.564586291157795</v>
      </c>
      <c r="AI121" s="38">
        <f t="shared" si="13"/>
        <v>751.42859706079582</v>
      </c>
    </row>
    <row r="122" spans="1:35" s="15" customFormat="1">
      <c r="A122" s="16">
        <v>1007</v>
      </c>
      <c r="B122" s="10" t="s">
        <v>279</v>
      </c>
      <c r="C122" s="10" t="s">
        <v>22</v>
      </c>
      <c r="D122" s="10" t="s">
        <v>28</v>
      </c>
      <c r="E122" s="4" t="s">
        <v>14</v>
      </c>
      <c r="F122" s="4">
        <v>81593</v>
      </c>
      <c r="G122" s="4">
        <v>2010</v>
      </c>
      <c r="H122" s="4"/>
      <c r="I122" s="44" t="s">
        <v>280</v>
      </c>
      <c r="J122" s="17">
        <v>187.11326810862985</v>
      </c>
      <c r="K122" s="24">
        <v>324.9822730821615</v>
      </c>
      <c r="L122" s="24">
        <v>174.05</v>
      </c>
      <c r="M122" s="24">
        <v>157.91</v>
      </c>
      <c r="N122" s="25">
        <v>156.46172199185037</v>
      </c>
      <c r="O122" s="24">
        <v>158.74464560214929</v>
      </c>
      <c r="P122" s="24">
        <v>155.72</v>
      </c>
      <c r="Q122" s="24">
        <v>167.06</v>
      </c>
      <c r="R122" s="24">
        <v>149.12</v>
      </c>
      <c r="S122" s="11">
        <f t="shared" si="18"/>
        <v>115.98197533439799</v>
      </c>
      <c r="T122" s="11">
        <f t="shared" si="18"/>
        <v>105.16924861874953</v>
      </c>
      <c r="U122" s="11">
        <f t="shared" si="18"/>
        <v>94.35652190310114</v>
      </c>
      <c r="V122" s="32">
        <f t="shared" si="15"/>
        <v>1946.6696546410399</v>
      </c>
      <c r="W122" s="33">
        <f t="shared" si="12"/>
        <v>83.543795187452687</v>
      </c>
      <c r="X122" s="33">
        <f t="shared" si="19"/>
        <v>72.731068471804292</v>
      </c>
      <c r="Y122" s="33">
        <f t="shared" si="19"/>
        <v>61.91834175615584</v>
      </c>
      <c r="Z122" s="33">
        <f t="shared" si="19"/>
        <v>51.105615040507445</v>
      </c>
      <c r="AA122" s="33">
        <f t="shared" si="19"/>
        <v>40.292888324858993</v>
      </c>
      <c r="AB122" s="33">
        <f t="shared" si="19"/>
        <v>29.480161609210601</v>
      </c>
      <c r="AC122" s="33">
        <f t="shared" si="19"/>
        <v>18.667434893562142</v>
      </c>
      <c r="AD122" s="33">
        <f t="shared" si="19"/>
        <v>7.8547081779137526</v>
      </c>
      <c r="AE122" s="33">
        <f t="shared" si="19"/>
        <v>0</v>
      </c>
      <c r="AF122" s="33">
        <f t="shared" si="19"/>
        <v>0</v>
      </c>
      <c r="AG122" s="33">
        <f t="shared" si="19"/>
        <v>0</v>
      </c>
      <c r="AH122" s="33">
        <f t="shared" si="19"/>
        <v>0</v>
      </c>
      <c r="AI122" s="38">
        <f t="shared" si="13"/>
        <v>365.59401346146575</v>
      </c>
    </row>
    <row r="123" spans="1:35" s="9" customFormat="1">
      <c r="A123" s="3">
        <v>978</v>
      </c>
      <c r="B123" s="1" t="s">
        <v>281</v>
      </c>
      <c r="C123" s="1" t="s">
        <v>27</v>
      </c>
      <c r="D123" s="1" t="s">
        <v>44</v>
      </c>
      <c r="E123" s="4" t="s">
        <v>14</v>
      </c>
      <c r="F123" s="4">
        <v>81593</v>
      </c>
      <c r="G123" s="4">
        <v>2008</v>
      </c>
      <c r="H123" s="4"/>
      <c r="I123" s="8" t="s">
        <v>282</v>
      </c>
      <c r="J123" s="17">
        <v>147.52013469047515</v>
      </c>
      <c r="K123" s="24">
        <v>256.40734515236193</v>
      </c>
      <c r="L123" s="24">
        <v>210.28</v>
      </c>
      <c r="M123" s="24">
        <v>224.19</v>
      </c>
      <c r="N123" s="25">
        <v>223.51966101170433</v>
      </c>
      <c r="O123" s="24">
        <v>224.24810535861423</v>
      </c>
      <c r="P123" s="24">
        <v>221.71</v>
      </c>
      <c r="Q123" s="24">
        <v>238.44</v>
      </c>
      <c r="R123" s="24">
        <v>240.77</v>
      </c>
      <c r="S123" s="11">
        <f t="shared" si="18"/>
        <v>247.00166348198735</v>
      </c>
      <c r="T123" s="11">
        <f t="shared" si="18"/>
        <v>252.79666507415146</v>
      </c>
      <c r="U123" s="11">
        <f t="shared" si="18"/>
        <v>258.59166666631558</v>
      </c>
      <c r="V123" s="32">
        <f t="shared" si="15"/>
        <v>2745.4752414356099</v>
      </c>
      <c r="W123" s="33">
        <f t="shared" si="12"/>
        <v>264.38666825847963</v>
      </c>
      <c r="X123" s="33">
        <f t="shared" si="19"/>
        <v>270.18166985064374</v>
      </c>
      <c r="Y123" s="33">
        <f t="shared" si="19"/>
        <v>275.97667144280786</v>
      </c>
      <c r="Z123" s="33">
        <f t="shared" si="19"/>
        <v>281.77167303497197</v>
      </c>
      <c r="AA123" s="33">
        <f t="shared" si="19"/>
        <v>287.56667462713608</v>
      </c>
      <c r="AB123" s="33">
        <f t="shared" si="19"/>
        <v>293.36167621930019</v>
      </c>
      <c r="AC123" s="33">
        <f t="shared" si="19"/>
        <v>299.15667781146431</v>
      </c>
      <c r="AD123" s="33">
        <f t="shared" si="19"/>
        <v>304.95167940362842</v>
      </c>
      <c r="AE123" s="33">
        <f t="shared" si="19"/>
        <v>310.74668099579253</v>
      </c>
      <c r="AF123" s="33">
        <f t="shared" si="19"/>
        <v>316.54168258795664</v>
      </c>
      <c r="AG123" s="33">
        <f t="shared" si="19"/>
        <v>322.3366841801207</v>
      </c>
      <c r="AH123" s="33">
        <f t="shared" si="19"/>
        <v>328.13168577228481</v>
      </c>
      <c r="AI123" s="38">
        <f t="shared" si="13"/>
        <v>3555.1101241845872</v>
      </c>
    </row>
    <row r="124" spans="1:35" s="15" customFormat="1">
      <c r="A124" s="3">
        <v>1043</v>
      </c>
      <c r="B124" s="1" t="s">
        <v>283</v>
      </c>
      <c r="C124" s="1" t="s">
        <v>12</v>
      </c>
      <c r="D124" s="1" t="s">
        <v>38</v>
      </c>
      <c r="E124" s="4" t="s">
        <v>14</v>
      </c>
      <c r="F124" s="4">
        <v>81593</v>
      </c>
      <c r="G124" s="4">
        <v>1107</v>
      </c>
      <c r="H124" s="4"/>
      <c r="I124" s="23" t="s">
        <v>284</v>
      </c>
      <c r="J124" s="17">
        <v>62.470587461062607</v>
      </c>
      <c r="K124" s="24">
        <v>507.55285865446467</v>
      </c>
      <c r="L124" s="24">
        <v>1660.39</v>
      </c>
      <c r="M124" s="24">
        <v>2936.35</v>
      </c>
      <c r="N124" s="25">
        <v>3334.3264322744794</v>
      </c>
      <c r="O124" s="24">
        <v>3822.245798674468</v>
      </c>
      <c r="P124" s="24">
        <v>4178.7</v>
      </c>
      <c r="Q124" s="24">
        <v>4338.4799999999996</v>
      </c>
      <c r="R124" s="24">
        <v>4426.17</v>
      </c>
      <c r="S124" s="11">
        <f t="shared" si="18"/>
        <v>4546.6907487681738</v>
      </c>
      <c r="T124" s="11">
        <f t="shared" si="18"/>
        <v>4666.9482249616131</v>
      </c>
      <c r="U124" s="11">
        <f t="shared" si="18"/>
        <v>4787.2057011550523</v>
      </c>
      <c r="V124" s="32">
        <f t="shared" si="15"/>
        <v>39267.53035194931</v>
      </c>
      <c r="W124" s="33">
        <f t="shared" si="12"/>
        <v>4907.4631773484916</v>
      </c>
      <c r="X124" s="33">
        <f t="shared" si="19"/>
        <v>5027.7206535419309</v>
      </c>
      <c r="Y124" s="33">
        <f t="shared" si="19"/>
        <v>5147.9781297353702</v>
      </c>
      <c r="Z124" s="33">
        <f t="shared" si="19"/>
        <v>5268.2356059288095</v>
      </c>
      <c r="AA124" s="33">
        <f t="shared" si="19"/>
        <v>5388.4930821222488</v>
      </c>
      <c r="AB124" s="33">
        <f t="shared" si="19"/>
        <v>5508.7505583156872</v>
      </c>
      <c r="AC124" s="33">
        <f t="shared" si="19"/>
        <v>5629.0080345091264</v>
      </c>
      <c r="AD124" s="33">
        <f t="shared" si="19"/>
        <v>5749.2655107025657</v>
      </c>
      <c r="AE124" s="33">
        <f t="shared" si="19"/>
        <v>5869.522986896005</v>
      </c>
      <c r="AF124" s="33">
        <f t="shared" si="19"/>
        <v>5989.7804630894443</v>
      </c>
      <c r="AG124" s="33">
        <f t="shared" si="19"/>
        <v>6110.0379392828836</v>
      </c>
      <c r="AH124" s="33">
        <f t="shared" si="19"/>
        <v>6230.2954154763229</v>
      </c>
      <c r="AI124" s="38">
        <f t="shared" si="13"/>
        <v>66826.551556948893</v>
      </c>
    </row>
    <row r="125" spans="1:35" s="43" customFormat="1">
      <c r="A125" s="27">
        <v>1045</v>
      </c>
      <c r="B125" s="28" t="s">
        <v>285</v>
      </c>
      <c r="C125" s="28" t="s">
        <v>12</v>
      </c>
      <c r="D125" s="28" t="s">
        <v>38</v>
      </c>
      <c r="E125" s="29" t="s">
        <v>68</v>
      </c>
      <c r="F125" s="39" t="s">
        <v>40</v>
      </c>
      <c r="G125" s="30">
        <v>3000</v>
      </c>
      <c r="H125" s="49" t="s">
        <v>286</v>
      </c>
      <c r="I125" s="30" t="s">
        <v>287</v>
      </c>
      <c r="J125" s="17">
        <v>0</v>
      </c>
      <c r="K125" s="24">
        <v>125.37</v>
      </c>
      <c r="L125" s="24">
        <v>150.46</v>
      </c>
      <c r="M125" s="24">
        <v>146</v>
      </c>
      <c r="N125" s="25">
        <v>140.05000000000001</v>
      </c>
      <c r="O125" s="24">
        <v>95.34</v>
      </c>
      <c r="P125" s="24">
        <v>0</v>
      </c>
      <c r="Q125" s="24">
        <v>0</v>
      </c>
      <c r="R125" s="24">
        <v>0</v>
      </c>
      <c r="S125" s="11">
        <f t="shared" si="18"/>
        <v>0</v>
      </c>
      <c r="T125" s="11">
        <f t="shared" si="18"/>
        <v>0</v>
      </c>
      <c r="U125" s="11">
        <f t="shared" si="18"/>
        <v>0</v>
      </c>
      <c r="V125" s="32">
        <f t="shared" ref="V125" si="21">SUM(J125:U125)</f>
        <v>657.22000000000014</v>
      </c>
      <c r="W125" s="33">
        <f t="shared" si="12"/>
        <v>0</v>
      </c>
      <c r="X125" s="33">
        <f t="shared" si="19"/>
        <v>0</v>
      </c>
      <c r="Y125" s="33">
        <f t="shared" si="19"/>
        <v>0</v>
      </c>
      <c r="Z125" s="33">
        <f t="shared" si="19"/>
        <v>0</v>
      </c>
      <c r="AA125" s="33">
        <f t="shared" si="19"/>
        <v>0</v>
      </c>
      <c r="AB125" s="33">
        <f t="shared" si="19"/>
        <v>0</v>
      </c>
      <c r="AC125" s="33">
        <f t="shared" si="19"/>
        <v>0</v>
      </c>
      <c r="AD125" s="33">
        <f t="shared" si="19"/>
        <v>0</v>
      </c>
      <c r="AE125" s="33">
        <f t="shared" si="19"/>
        <v>0</v>
      </c>
      <c r="AF125" s="33">
        <f t="shared" si="19"/>
        <v>0</v>
      </c>
      <c r="AG125" s="33">
        <f t="shared" si="19"/>
        <v>0</v>
      </c>
      <c r="AH125" s="33">
        <f t="shared" si="19"/>
        <v>0</v>
      </c>
      <c r="AI125" s="38">
        <f t="shared" si="13"/>
        <v>0</v>
      </c>
    </row>
    <row r="126" spans="1:35">
      <c r="A126" s="3">
        <v>920</v>
      </c>
      <c r="B126" s="1" t="s">
        <v>288</v>
      </c>
      <c r="C126" s="1" t="s">
        <v>22</v>
      </c>
      <c r="D126" s="1" t="s">
        <v>77</v>
      </c>
      <c r="E126" s="4" t="s">
        <v>14</v>
      </c>
      <c r="F126" s="4">
        <v>81593</v>
      </c>
      <c r="G126" s="4">
        <v>2009</v>
      </c>
      <c r="H126" s="4"/>
      <c r="I126" s="1" t="s">
        <v>289</v>
      </c>
      <c r="J126" s="17">
        <v>4956.3055398587285</v>
      </c>
      <c r="K126" s="24">
        <v>4979.3611267903179</v>
      </c>
      <c r="L126" s="24">
        <v>4298.7</v>
      </c>
      <c r="M126" s="24">
        <v>4750.58</v>
      </c>
      <c r="N126" s="25">
        <v>4693.7496239383781</v>
      </c>
      <c r="O126" s="24">
        <v>2979.389619004718</v>
      </c>
      <c r="P126" s="24">
        <v>2754.66</v>
      </c>
      <c r="Q126" s="24">
        <v>2319.62</v>
      </c>
      <c r="R126" s="24">
        <v>2890.1</v>
      </c>
      <c r="S126" s="11">
        <f t="shared" si="18"/>
        <v>2005.1500586978264</v>
      </c>
      <c r="T126" s="11">
        <f t="shared" si="18"/>
        <v>1655.0517468036642</v>
      </c>
      <c r="U126" s="11">
        <f t="shared" si="18"/>
        <v>1304.9534349095018</v>
      </c>
      <c r="V126" s="32">
        <f t="shared" si="15"/>
        <v>39587.621150003135</v>
      </c>
      <c r="W126" s="33">
        <f t="shared" si="12"/>
        <v>954.8551230153397</v>
      </c>
      <c r="X126" s="33">
        <f t="shared" si="19"/>
        <v>604.75681112117729</v>
      </c>
      <c r="Y126" s="33">
        <f t="shared" si="19"/>
        <v>254.65849922701511</v>
      </c>
      <c r="Z126" s="33">
        <f t="shared" si="19"/>
        <v>0</v>
      </c>
      <c r="AA126" s="33">
        <f t="shared" si="19"/>
        <v>0</v>
      </c>
      <c r="AB126" s="33">
        <f t="shared" si="19"/>
        <v>0</v>
      </c>
      <c r="AC126" s="33">
        <f t="shared" si="19"/>
        <v>0</v>
      </c>
      <c r="AD126" s="33">
        <f t="shared" si="19"/>
        <v>0</v>
      </c>
      <c r="AE126" s="33">
        <f t="shared" si="19"/>
        <v>0</v>
      </c>
      <c r="AF126" s="33">
        <f t="shared" si="19"/>
        <v>0</v>
      </c>
      <c r="AG126" s="33">
        <f t="shared" si="19"/>
        <v>0</v>
      </c>
      <c r="AH126" s="33">
        <f t="shared" si="19"/>
        <v>0</v>
      </c>
      <c r="AI126" s="38">
        <f t="shared" si="13"/>
        <v>1814.270433363532</v>
      </c>
    </row>
    <row r="127" spans="1:35">
      <c r="A127" s="3">
        <v>31</v>
      </c>
      <c r="B127" s="1" t="s">
        <v>290</v>
      </c>
      <c r="C127" s="1" t="s">
        <v>12</v>
      </c>
      <c r="D127" s="1" t="s">
        <v>149</v>
      </c>
      <c r="E127" s="4" t="s">
        <v>39</v>
      </c>
      <c r="F127" s="5" t="s">
        <v>40</v>
      </c>
      <c r="G127" s="5" t="s">
        <v>41</v>
      </c>
      <c r="H127" s="5"/>
      <c r="I127" s="1" t="s">
        <v>291</v>
      </c>
      <c r="J127" s="17">
        <v>25879.464264686525</v>
      </c>
      <c r="K127" s="24">
        <v>28867.285405263163</v>
      </c>
      <c r="L127" s="24">
        <v>30667.23</v>
      </c>
      <c r="M127" s="24">
        <v>33364.449999999997</v>
      </c>
      <c r="N127" s="25">
        <v>34609.671663510184</v>
      </c>
      <c r="O127" s="24">
        <v>36471.285022381955</v>
      </c>
      <c r="P127" s="24">
        <v>36339.42</v>
      </c>
      <c r="Q127" s="24">
        <v>39952.769999999997</v>
      </c>
      <c r="R127" s="24">
        <v>39883.97</v>
      </c>
      <c r="S127" s="11">
        <f t="shared" si="18"/>
        <v>42263.500904525528</v>
      </c>
      <c r="T127" s="11">
        <f t="shared" si="18"/>
        <v>43993.872753932257</v>
      </c>
      <c r="U127" s="11">
        <f t="shared" si="18"/>
        <v>45724.244603338986</v>
      </c>
      <c r="V127" s="32">
        <f t="shared" si="15"/>
        <v>438017.16461763857</v>
      </c>
      <c r="W127" s="33">
        <f t="shared" si="12"/>
        <v>47454.616452745715</v>
      </c>
      <c r="X127" s="33">
        <f t="shared" si="19"/>
        <v>49184.988302152444</v>
      </c>
      <c r="Y127" s="33">
        <f t="shared" si="19"/>
        <v>50915.36015155918</v>
      </c>
      <c r="Z127" s="33">
        <f t="shared" si="19"/>
        <v>52645.732000965909</v>
      </c>
      <c r="AA127" s="33">
        <f t="shared" si="19"/>
        <v>54376.103850372638</v>
      </c>
      <c r="AB127" s="33">
        <f t="shared" si="19"/>
        <v>56106.475699779367</v>
      </c>
      <c r="AC127" s="33">
        <f t="shared" si="19"/>
        <v>57836.847549186095</v>
      </c>
      <c r="AD127" s="33">
        <f t="shared" si="19"/>
        <v>59567.219398592832</v>
      </c>
      <c r="AE127" s="33">
        <f t="shared" si="19"/>
        <v>61297.59124799956</v>
      </c>
      <c r="AF127" s="33">
        <f t="shared" si="19"/>
        <v>63027.963097406289</v>
      </c>
      <c r="AG127" s="33">
        <f t="shared" si="19"/>
        <v>64758.334946813018</v>
      </c>
      <c r="AH127" s="33">
        <f t="shared" si="19"/>
        <v>66488.706796219747</v>
      </c>
      <c r="AI127" s="38">
        <f t="shared" si="13"/>
        <v>683659.93949379283</v>
      </c>
    </row>
    <row r="128" spans="1:35">
      <c r="A128" s="3">
        <v>696</v>
      </c>
      <c r="B128" s="1" t="s">
        <v>292</v>
      </c>
      <c r="C128" s="1" t="s">
        <v>22</v>
      </c>
      <c r="D128" s="1" t="s">
        <v>77</v>
      </c>
      <c r="E128" s="4" t="s">
        <v>14</v>
      </c>
      <c r="F128" s="4">
        <v>81593</v>
      </c>
      <c r="G128" s="4">
        <v>2009</v>
      </c>
      <c r="H128" s="4"/>
      <c r="I128" s="1" t="s">
        <v>293</v>
      </c>
      <c r="J128" s="17">
        <v>311.86255385425352</v>
      </c>
      <c r="K128" s="24">
        <v>353.64428288438592</v>
      </c>
      <c r="L128" s="24">
        <v>1614.49</v>
      </c>
      <c r="M128" s="24">
        <v>1881.64</v>
      </c>
      <c r="N128" s="25">
        <v>2050.3485237987729</v>
      </c>
      <c r="O128" s="24">
        <v>2717.2579294624497</v>
      </c>
      <c r="P128" s="24">
        <v>2604.48</v>
      </c>
      <c r="Q128" s="24">
        <v>2442.17</v>
      </c>
      <c r="R128" s="24">
        <v>2440.84</v>
      </c>
      <c r="S128" s="11">
        <f t="shared" si="18"/>
        <v>2768.3258886995154</v>
      </c>
      <c r="T128" s="11">
        <f t="shared" si="18"/>
        <v>3061.4034157686156</v>
      </c>
      <c r="U128" s="11">
        <f t="shared" si="18"/>
        <v>3354.4809428377162</v>
      </c>
      <c r="V128" s="32">
        <f t="shared" si="15"/>
        <v>25600.943537305706</v>
      </c>
      <c r="W128" s="33">
        <f t="shared" si="12"/>
        <v>3647.5584699068163</v>
      </c>
      <c r="X128" s="33">
        <f t="shared" si="19"/>
        <v>3940.6359969759164</v>
      </c>
      <c r="Y128" s="33">
        <f t="shared" si="19"/>
        <v>4233.713524045017</v>
      </c>
      <c r="Z128" s="33">
        <f t="shared" si="19"/>
        <v>4526.7910511141172</v>
      </c>
      <c r="AA128" s="33">
        <f t="shared" si="19"/>
        <v>4819.8685781832173</v>
      </c>
      <c r="AB128" s="33">
        <f t="shared" si="19"/>
        <v>5112.9461052523175</v>
      </c>
      <c r="AC128" s="33">
        <f t="shared" si="19"/>
        <v>5406.0236323214176</v>
      </c>
      <c r="AD128" s="33">
        <f t="shared" si="19"/>
        <v>5699.1011593905187</v>
      </c>
      <c r="AE128" s="33">
        <f t="shared" si="19"/>
        <v>5992.1786864596179</v>
      </c>
      <c r="AF128" s="33">
        <f t="shared" si="19"/>
        <v>6285.2562135287189</v>
      </c>
      <c r="AG128" s="33">
        <f t="shared" si="19"/>
        <v>6578.3337405978191</v>
      </c>
      <c r="AH128" s="33">
        <f t="shared" si="19"/>
        <v>6871.4112676669192</v>
      </c>
      <c r="AI128" s="38">
        <f t="shared" si="13"/>
        <v>63113.818425442405</v>
      </c>
    </row>
    <row r="129" spans="1:35">
      <c r="A129" s="3">
        <v>388</v>
      </c>
      <c r="B129" s="1" t="s">
        <v>294</v>
      </c>
      <c r="C129" s="1" t="s">
        <v>22</v>
      </c>
      <c r="D129" s="1" t="s">
        <v>23</v>
      </c>
      <c r="E129" s="4" t="s">
        <v>14</v>
      </c>
      <c r="F129" s="4">
        <v>81593</v>
      </c>
      <c r="G129" s="4">
        <v>2009</v>
      </c>
      <c r="H129" s="4"/>
      <c r="I129" s="1" t="s">
        <v>295</v>
      </c>
      <c r="J129" s="17">
        <v>2960.7540488307814</v>
      </c>
      <c r="K129" s="24">
        <v>3010.1313264606247</v>
      </c>
      <c r="L129" s="24">
        <v>2781.1</v>
      </c>
      <c r="M129" s="24">
        <v>3003.26</v>
      </c>
      <c r="N129" s="25">
        <v>2849.9011868535135</v>
      </c>
      <c r="O129" s="24">
        <v>2432.4453723532142</v>
      </c>
      <c r="P129" s="24">
        <v>2436.0100000000002</v>
      </c>
      <c r="Q129" s="24">
        <v>2593.31</v>
      </c>
      <c r="R129" s="24">
        <v>2626.64</v>
      </c>
      <c r="S129" s="11">
        <f t="shared" si="18"/>
        <v>2386.0128284455168</v>
      </c>
      <c r="T129" s="11">
        <f t="shared" si="18"/>
        <v>2322.2281651691214</v>
      </c>
      <c r="U129" s="11">
        <f t="shared" si="18"/>
        <v>2258.4435018927256</v>
      </c>
      <c r="V129" s="32">
        <f t="shared" si="15"/>
        <v>31660.236430005498</v>
      </c>
      <c r="W129" s="33">
        <f t="shared" si="12"/>
        <v>2194.6588386163303</v>
      </c>
      <c r="X129" s="33">
        <f t="shared" si="19"/>
        <v>2130.8741753399345</v>
      </c>
      <c r="Y129" s="33">
        <f t="shared" ref="X129:AH137" si="22">MAX(IF($R129=0,0,_xlfn.FORECAST.ETS(Y$1,$J129:$R129,$J$1:$R$1)),0)</f>
        <v>2067.0895120635391</v>
      </c>
      <c r="Z129" s="33">
        <f t="shared" si="22"/>
        <v>2003.3048487871436</v>
      </c>
      <c r="AA129" s="33">
        <f t="shared" si="22"/>
        <v>1939.520185510748</v>
      </c>
      <c r="AB129" s="33">
        <f t="shared" si="22"/>
        <v>1875.7355222343522</v>
      </c>
      <c r="AC129" s="33">
        <f t="shared" si="22"/>
        <v>1811.9508589579568</v>
      </c>
      <c r="AD129" s="33">
        <f t="shared" si="22"/>
        <v>1748.166195681561</v>
      </c>
      <c r="AE129" s="33">
        <f t="shared" si="22"/>
        <v>1684.3815324051657</v>
      </c>
      <c r="AF129" s="33">
        <f t="shared" si="22"/>
        <v>1620.5968691287699</v>
      </c>
      <c r="AG129" s="33">
        <f t="shared" si="22"/>
        <v>1556.8122058523745</v>
      </c>
      <c r="AH129" s="33">
        <f t="shared" si="22"/>
        <v>1493.0275425759787</v>
      </c>
      <c r="AI129" s="38">
        <f t="shared" si="13"/>
        <v>22126.118287153855</v>
      </c>
    </row>
    <row r="130" spans="1:35" s="43" customFormat="1">
      <c r="A130" s="27">
        <v>733</v>
      </c>
      <c r="B130" s="28" t="s">
        <v>296</v>
      </c>
      <c r="C130" s="28" t="s">
        <v>12</v>
      </c>
      <c r="D130" s="28" t="s">
        <v>38</v>
      </c>
      <c r="E130" s="29" t="s">
        <v>68</v>
      </c>
      <c r="F130" s="39" t="s">
        <v>40</v>
      </c>
      <c r="G130" s="30">
        <v>3000</v>
      </c>
      <c r="H130" s="49" t="s">
        <v>297</v>
      </c>
      <c r="I130" s="30" t="s">
        <v>298</v>
      </c>
      <c r="J130" s="17">
        <v>425.8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11">
        <f t="shared" si="18"/>
        <v>0</v>
      </c>
      <c r="T130" s="11">
        <f t="shared" si="18"/>
        <v>0</v>
      </c>
      <c r="U130" s="11">
        <f t="shared" si="18"/>
        <v>0</v>
      </c>
      <c r="V130" s="32">
        <f t="shared" ref="V130:V135" si="23">SUM(J130:U130)</f>
        <v>425.8</v>
      </c>
      <c r="W130" s="33">
        <f t="shared" si="12"/>
        <v>0</v>
      </c>
      <c r="X130" s="33">
        <f t="shared" si="22"/>
        <v>0</v>
      </c>
      <c r="Y130" s="33">
        <f t="shared" si="22"/>
        <v>0</v>
      </c>
      <c r="Z130" s="33">
        <f t="shared" si="22"/>
        <v>0</v>
      </c>
      <c r="AA130" s="33">
        <f t="shared" si="22"/>
        <v>0</v>
      </c>
      <c r="AB130" s="33">
        <f t="shared" si="22"/>
        <v>0</v>
      </c>
      <c r="AC130" s="33">
        <f t="shared" si="22"/>
        <v>0</v>
      </c>
      <c r="AD130" s="33">
        <f t="shared" si="22"/>
        <v>0</v>
      </c>
      <c r="AE130" s="33">
        <f t="shared" si="22"/>
        <v>0</v>
      </c>
      <c r="AF130" s="33">
        <f t="shared" si="22"/>
        <v>0</v>
      </c>
      <c r="AG130" s="33">
        <f t="shared" si="22"/>
        <v>0</v>
      </c>
      <c r="AH130" s="33">
        <f t="shared" si="22"/>
        <v>0</v>
      </c>
      <c r="AI130" s="38">
        <f t="shared" si="13"/>
        <v>0</v>
      </c>
    </row>
    <row r="131" spans="1:35" s="9" customFormat="1">
      <c r="A131" s="3">
        <v>956</v>
      </c>
      <c r="B131" s="1" t="s">
        <v>299</v>
      </c>
      <c r="C131" s="1" t="s">
        <v>27</v>
      </c>
      <c r="D131" s="1" t="s">
        <v>28</v>
      </c>
      <c r="E131" s="45" t="s">
        <v>14</v>
      </c>
      <c r="F131" s="44">
        <v>81593</v>
      </c>
      <c r="G131" s="44">
        <v>2005</v>
      </c>
      <c r="H131" s="44"/>
      <c r="I131" s="7" t="s">
        <v>300</v>
      </c>
      <c r="J131" s="17">
        <v>189.23470955995262</v>
      </c>
      <c r="K131" s="24">
        <v>169.02029959490835</v>
      </c>
      <c r="L131" s="24">
        <v>157.59</v>
      </c>
      <c r="M131" s="24">
        <v>172.93</v>
      </c>
      <c r="N131" s="25">
        <v>171.28752622128553</v>
      </c>
      <c r="O131" s="24">
        <v>177.61144191080726</v>
      </c>
      <c r="P131" s="24">
        <v>173.7</v>
      </c>
      <c r="Q131" s="24">
        <v>188.23</v>
      </c>
      <c r="R131" s="24">
        <v>187.97</v>
      </c>
      <c r="S131" s="11">
        <f t="shared" si="18"/>
        <v>189.49476482903509</v>
      </c>
      <c r="T131" s="11">
        <f t="shared" si="18"/>
        <v>190.97154314248607</v>
      </c>
      <c r="U131" s="11">
        <f t="shared" si="18"/>
        <v>192.44832145593702</v>
      </c>
      <c r="V131" s="32">
        <f t="shared" si="23"/>
        <v>2160.4886067144121</v>
      </c>
      <c r="W131" s="33">
        <f t="shared" si="12"/>
        <v>193.92509976938797</v>
      </c>
      <c r="X131" s="33">
        <f t="shared" si="22"/>
        <v>195.40187808283895</v>
      </c>
      <c r="Y131" s="33">
        <f t="shared" si="22"/>
        <v>196.8786563962899</v>
      </c>
      <c r="Z131" s="33">
        <f t="shared" si="22"/>
        <v>198.35543470974085</v>
      </c>
      <c r="AA131" s="33">
        <f t="shared" si="22"/>
        <v>199.83221302319183</v>
      </c>
      <c r="AB131" s="33">
        <f t="shared" si="22"/>
        <v>201.30899133664278</v>
      </c>
      <c r="AC131" s="33">
        <f t="shared" si="22"/>
        <v>202.78576965009375</v>
      </c>
      <c r="AD131" s="33">
        <f t="shared" si="22"/>
        <v>204.2625479635447</v>
      </c>
      <c r="AE131" s="33">
        <f t="shared" si="22"/>
        <v>205.73932627699566</v>
      </c>
      <c r="AF131" s="33">
        <f t="shared" si="22"/>
        <v>207.21610459044663</v>
      </c>
      <c r="AG131" s="33">
        <f t="shared" si="22"/>
        <v>208.69288290389758</v>
      </c>
      <c r="AH131" s="33">
        <f t="shared" si="22"/>
        <v>210.16966121734853</v>
      </c>
      <c r="AI131" s="38">
        <f t="shared" si="13"/>
        <v>2424.5685659204191</v>
      </c>
    </row>
    <row r="132" spans="1:35">
      <c r="A132" s="27">
        <v>726</v>
      </c>
      <c r="B132" s="28" t="s">
        <v>301</v>
      </c>
      <c r="C132" s="28" t="s">
        <v>22</v>
      </c>
      <c r="D132" s="28" t="s">
        <v>34</v>
      </c>
      <c r="E132" s="29" t="s">
        <v>14</v>
      </c>
      <c r="F132" s="29">
        <v>81593</v>
      </c>
      <c r="G132" s="29">
        <v>2011</v>
      </c>
      <c r="H132" s="39" t="s">
        <v>302</v>
      </c>
      <c r="I132" s="28" t="s">
        <v>303</v>
      </c>
      <c r="J132" s="17">
        <v>319.61274448295529</v>
      </c>
      <c r="K132" s="24">
        <v>322.80053800766376</v>
      </c>
      <c r="L132" s="24">
        <v>298.60000000000002</v>
      </c>
      <c r="M132" s="24">
        <v>328.96</v>
      </c>
      <c r="N132" s="25">
        <v>108.79058822727983</v>
      </c>
      <c r="O132" s="24">
        <v>0</v>
      </c>
      <c r="P132" s="24">
        <v>0</v>
      </c>
      <c r="Q132" s="24">
        <v>0</v>
      </c>
      <c r="R132" s="24">
        <v>0</v>
      </c>
      <c r="S132" s="11">
        <f t="shared" si="18"/>
        <v>0</v>
      </c>
      <c r="T132" s="11">
        <f t="shared" si="18"/>
        <v>0</v>
      </c>
      <c r="U132" s="11">
        <f t="shared" si="18"/>
        <v>0</v>
      </c>
      <c r="V132" s="32">
        <f t="shared" si="23"/>
        <v>1378.763870717899</v>
      </c>
      <c r="W132" s="33">
        <f t="shared" si="12"/>
        <v>0</v>
      </c>
      <c r="X132" s="33">
        <f t="shared" si="22"/>
        <v>0</v>
      </c>
      <c r="Y132" s="33">
        <f t="shared" si="22"/>
        <v>0</v>
      </c>
      <c r="Z132" s="33">
        <f t="shared" si="22"/>
        <v>0</v>
      </c>
      <c r="AA132" s="33">
        <f t="shared" si="22"/>
        <v>0</v>
      </c>
      <c r="AB132" s="33">
        <f t="shared" si="22"/>
        <v>0</v>
      </c>
      <c r="AC132" s="33">
        <f t="shared" si="22"/>
        <v>0</v>
      </c>
      <c r="AD132" s="33">
        <f t="shared" si="22"/>
        <v>0</v>
      </c>
      <c r="AE132" s="33">
        <f t="shared" si="22"/>
        <v>0</v>
      </c>
      <c r="AF132" s="33">
        <f t="shared" si="22"/>
        <v>0</v>
      </c>
      <c r="AG132" s="33">
        <f t="shared" si="22"/>
        <v>0</v>
      </c>
      <c r="AH132" s="33">
        <f t="shared" si="22"/>
        <v>0</v>
      </c>
      <c r="AI132" s="38">
        <f t="shared" si="13"/>
        <v>0</v>
      </c>
    </row>
    <row r="133" spans="1:35">
      <c r="A133" s="3">
        <v>329</v>
      </c>
      <c r="B133" s="1" t="s">
        <v>304</v>
      </c>
      <c r="C133" s="1" t="s">
        <v>22</v>
      </c>
      <c r="D133" s="1" t="s">
        <v>23</v>
      </c>
      <c r="E133" s="4" t="s">
        <v>14</v>
      </c>
      <c r="F133" s="4">
        <v>81593</v>
      </c>
      <c r="G133" s="4">
        <v>2009</v>
      </c>
      <c r="H133" s="4"/>
      <c r="I133" s="1" t="s">
        <v>305</v>
      </c>
      <c r="J133" s="17">
        <v>995.19057188610532</v>
      </c>
      <c r="K133" s="24">
        <v>1000.6035959313861</v>
      </c>
      <c r="L133" s="24">
        <v>922.49</v>
      </c>
      <c r="M133" s="24">
        <v>1010.98</v>
      </c>
      <c r="N133" s="25">
        <v>985.8904723031543</v>
      </c>
      <c r="O133" s="24">
        <v>989.90148309753579</v>
      </c>
      <c r="P133" s="24">
        <v>976.53</v>
      </c>
      <c r="Q133" s="24">
        <v>1039.49</v>
      </c>
      <c r="R133" s="24">
        <v>1068.6500000000001</v>
      </c>
      <c r="S133" s="11">
        <f t="shared" si="18"/>
        <v>1046.1035896385131</v>
      </c>
      <c r="T133" s="11">
        <f t="shared" si="18"/>
        <v>1054.3034949772427</v>
      </c>
      <c r="U133" s="11">
        <f t="shared" si="18"/>
        <v>1062.5034003159722</v>
      </c>
      <c r="V133" s="32">
        <f t="shared" si="23"/>
        <v>12152.636608149909</v>
      </c>
      <c r="W133" s="33">
        <f t="shared" si="12"/>
        <v>1070.7033056547018</v>
      </c>
      <c r="X133" s="33">
        <f t="shared" si="22"/>
        <v>1078.9032109934312</v>
      </c>
      <c r="Y133" s="33">
        <f t="shared" si="22"/>
        <v>1087.1031163321609</v>
      </c>
      <c r="Z133" s="33">
        <f t="shared" si="22"/>
        <v>1095.3030216708903</v>
      </c>
      <c r="AA133" s="33">
        <f t="shared" si="22"/>
        <v>1103.50292700962</v>
      </c>
      <c r="AB133" s="33">
        <f t="shared" si="22"/>
        <v>1111.7028323483494</v>
      </c>
      <c r="AC133" s="33">
        <f t="shared" si="22"/>
        <v>1119.902737687079</v>
      </c>
      <c r="AD133" s="33">
        <f t="shared" si="22"/>
        <v>1128.1026430258084</v>
      </c>
      <c r="AE133" s="33">
        <f t="shared" si="22"/>
        <v>1136.3025483645381</v>
      </c>
      <c r="AF133" s="33">
        <f t="shared" si="22"/>
        <v>1144.5024537032675</v>
      </c>
      <c r="AG133" s="33">
        <f t="shared" si="22"/>
        <v>1152.7023590419972</v>
      </c>
      <c r="AH133" s="33">
        <f t="shared" si="22"/>
        <v>1160.9022643807266</v>
      </c>
      <c r="AI133" s="38">
        <f t="shared" si="13"/>
        <v>13389.633420212569</v>
      </c>
    </row>
    <row r="134" spans="1:35">
      <c r="A134" s="27">
        <v>633</v>
      </c>
      <c r="B134" s="28" t="s">
        <v>306</v>
      </c>
      <c r="C134" s="28" t="s">
        <v>22</v>
      </c>
      <c r="D134" s="28" t="s">
        <v>28</v>
      </c>
      <c r="E134" s="29" t="s">
        <v>14</v>
      </c>
      <c r="F134" s="29">
        <v>81593</v>
      </c>
      <c r="G134" s="29">
        <v>2010</v>
      </c>
      <c r="H134" s="39" t="s">
        <v>307</v>
      </c>
      <c r="I134" s="28" t="s">
        <v>308</v>
      </c>
      <c r="J134" s="17">
        <v>1407.9868325801781</v>
      </c>
      <c r="K134" s="24">
        <v>463.07326956213217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11">
        <f t="shared" si="18"/>
        <v>0</v>
      </c>
      <c r="T134" s="11">
        <f t="shared" si="18"/>
        <v>0</v>
      </c>
      <c r="U134" s="11">
        <f t="shared" si="18"/>
        <v>0</v>
      </c>
      <c r="V134" s="32">
        <f t="shared" si="23"/>
        <v>1871.0601021423104</v>
      </c>
      <c r="W134" s="33">
        <f t="shared" ref="W134:W137" si="24">MAX(IF($R134=0,0,_xlfn.FORECAST.ETS(W$1,$J134:$R134,$J$1:$R$1)),0)</f>
        <v>0</v>
      </c>
      <c r="X134" s="33">
        <f t="shared" si="22"/>
        <v>0</v>
      </c>
      <c r="Y134" s="33">
        <f t="shared" si="22"/>
        <v>0</v>
      </c>
      <c r="Z134" s="33">
        <f t="shared" si="22"/>
        <v>0</v>
      </c>
      <c r="AA134" s="33">
        <f t="shared" si="22"/>
        <v>0</v>
      </c>
      <c r="AB134" s="33">
        <f t="shared" si="22"/>
        <v>0</v>
      </c>
      <c r="AC134" s="33">
        <f t="shared" si="22"/>
        <v>0</v>
      </c>
      <c r="AD134" s="33">
        <f t="shared" si="22"/>
        <v>0</v>
      </c>
      <c r="AE134" s="33">
        <f t="shared" si="22"/>
        <v>0</v>
      </c>
      <c r="AF134" s="33">
        <f t="shared" si="22"/>
        <v>0</v>
      </c>
      <c r="AG134" s="33">
        <f t="shared" si="22"/>
        <v>0</v>
      </c>
      <c r="AH134" s="33">
        <f t="shared" si="22"/>
        <v>0</v>
      </c>
      <c r="AI134" s="38">
        <f t="shared" ref="AI134:AI137" si="25">SUM(W134:AH134)</f>
        <v>0</v>
      </c>
    </row>
    <row r="135" spans="1:35" s="43" customFormat="1">
      <c r="A135" s="27">
        <v>970</v>
      </c>
      <c r="B135" s="28" t="s">
        <v>309</v>
      </c>
      <c r="C135" s="28" t="s">
        <v>12</v>
      </c>
      <c r="D135" s="28" t="s">
        <v>38</v>
      </c>
      <c r="E135" s="29" t="s">
        <v>310</v>
      </c>
      <c r="F135" s="30">
        <v>81593</v>
      </c>
      <c r="G135" s="30">
        <v>1172</v>
      </c>
      <c r="H135" s="49" t="s">
        <v>311</v>
      </c>
      <c r="I135" s="30" t="s">
        <v>312</v>
      </c>
      <c r="J135" s="17">
        <v>4411.28</v>
      </c>
      <c r="K135" s="24">
        <v>5178.59</v>
      </c>
      <c r="L135" s="24">
        <v>4772.55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11">
        <f t="shared" si="18"/>
        <v>0</v>
      </c>
      <c r="T135" s="11">
        <f t="shared" si="18"/>
        <v>0</v>
      </c>
      <c r="U135" s="11">
        <f t="shared" si="18"/>
        <v>0</v>
      </c>
      <c r="V135" s="32">
        <f t="shared" si="23"/>
        <v>14362.419999999998</v>
      </c>
      <c r="W135" s="33">
        <f t="shared" si="24"/>
        <v>0</v>
      </c>
      <c r="X135" s="33">
        <f t="shared" si="22"/>
        <v>0</v>
      </c>
      <c r="Y135" s="33">
        <f t="shared" si="22"/>
        <v>0</v>
      </c>
      <c r="Z135" s="33">
        <f t="shared" si="22"/>
        <v>0</v>
      </c>
      <c r="AA135" s="33">
        <f t="shared" si="22"/>
        <v>0</v>
      </c>
      <c r="AB135" s="33">
        <f t="shared" si="22"/>
        <v>0</v>
      </c>
      <c r="AC135" s="33">
        <f t="shared" si="22"/>
        <v>0</v>
      </c>
      <c r="AD135" s="33">
        <f t="shared" si="22"/>
        <v>0</v>
      </c>
      <c r="AE135" s="33">
        <f t="shared" si="22"/>
        <v>0</v>
      </c>
      <c r="AF135" s="33">
        <f t="shared" si="22"/>
        <v>0</v>
      </c>
      <c r="AG135" s="33">
        <f t="shared" si="22"/>
        <v>0</v>
      </c>
      <c r="AH135" s="33">
        <f t="shared" si="22"/>
        <v>0</v>
      </c>
      <c r="AI135" s="38">
        <f t="shared" si="25"/>
        <v>0</v>
      </c>
    </row>
    <row r="136" spans="1:35">
      <c r="A136" s="3">
        <v>698</v>
      </c>
      <c r="B136" s="1" t="s">
        <v>313</v>
      </c>
      <c r="C136" s="1" t="s">
        <v>27</v>
      </c>
      <c r="D136" s="1" t="s">
        <v>34</v>
      </c>
      <c r="E136" s="4" t="s">
        <v>14</v>
      </c>
      <c r="F136" s="4">
        <v>81593</v>
      </c>
      <c r="G136" s="4">
        <v>2006</v>
      </c>
      <c r="H136" s="4"/>
      <c r="I136" s="1" t="s">
        <v>314</v>
      </c>
      <c r="J136" s="17">
        <v>3040.2814519808712</v>
      </c>
      <c r="K136" s="24">
        <v>2661.0002406421117</v>
      </c>
      <c r="L136" s="24">
        <v>2729.06</v>
      </c>
      <c r="M136" s="24">
        <v>2916.99</v>
      </c>
      <c r="N136" s="25">
        <v>3245.9532110555269</v>
      </c>
      <c r="O136" s="24">
        <v>3507.0170946485491</v>
      </c>
      <c r="P136" s="24">
        <v>2481.2800000000002</v>
      </c>
      <c r="Q136" s="24">
        <v>2719.48</v>
      </c>
      <c r="R136" s="24">
        <v>2533.9699999999998</v>
      </c>
      <c r="S136" s="11">
        <f t="shared" si="18"/>
        <v>2773.7411215307734</v>
      </c>
      <c r="T136" s="11">
        <f t="shared" si="18"/>
        <v>2744.0247806878788</v>
      </c>
      <c r="U136" s="11">
        <f t="shared" si="18"/>
        <v>2714.3084398449846</v>
      </c>
      <c r="V136" s="32">
        <f t="shared" si="15"/>
        <v>34067.106340390696</v>
      </c>
      <c r="W136" s="33">
        <f t="shared" si="24"/>
        <v>2684.59209900209</v>
      </c>
      <c r="X136" s="33">
        <f t="shared" si="22"/>
        <v>2654.8757581591958</v>
      </c>
      <c r="Y136" s="33">
        <f t="shared" si="22"/>
        <v>2625.1594173163012</v>
      </c>
      <c r="Z136" s="33">
        <f t="shared" si="22"/>
        <v>2595.443076473407</v>
      </c>
      <c r="AA136" s="33">
        <f t="shared" si="22"/>
        <v>2565.7267356305124</v>
      </c>
      <c r="AB136" s="33">
        <f t="shared" si="22"/>
        <v>2536.0103947876182</v>
      </c>
      <c r="AC136" s="33">
        <f t="shared" si="22"/>
        <v>2506.2940539447236</v>
      </c>
      <c r="AD136" s="33">
        <f t="shared" si="22"/>
        <v>2476.5777131018294</v>
      </c>
      <c r="AE136" s="33">
        <f t="shared" si="22"/>
        <v>2446.8613722589353</v>
      </c>
      <c r="AF136" s="33">
        <f t="shared" si="22"/>
        <v>2417.1450314160406</v>
      </c>
      <c r="AG136" s="33">
        <f t="shared" si="22"/>
        <v>2387.428690573146</v>
      </c>
      <c r="AH136" s="33">
        <f t="shared" si="22"/>
        <v>2357.7123497302518</v>
      </c>
      <c r="AI136" s="38">
        <f t="shared" si="25"/>
        <v>30253.826692394054</v>
      </c>
    </row>
    <row r="137" spans="1:35">
      <c r="A137" s="3">
        <v>477</v>
      </c>
      <c r="B137" s="1" t="s">
        <v>315</v>
      </c>
      <c r="C137" s="1" t="s">
        <v>27</v>
      </c>
      <c r="D137" s="1" t="s">
        <v>34</v>
      </c>
      <c r="E137" s="4" t="s">
        <v>14</v>
      </c>
      <c r="F137" s="4">
        <v>81593</v>
      </c>
      <c r="G137" s="4">
        <v>2006</v>
      </c>
      <c r="H137" s="4"/>
      <c r="I137" s="1" t="s">
        <v>316</v>
      </c>
      <c r="J137" s="17">
        <v>4509.9499942964949</v>
      </c>
      <c r="K137" s="24">
        <v>5016.7179925512028</v>
      </c>
      <c r="L137" s="24">
        <v>4086.71</v>
      </c>
      <c r="M137" s="24">
        <v>4260.54</v>
      </c>
      <c r="N137" s="25">
        <v>5015.5399804309427</v>
      </c>
      <c r="O137" s="24">
        <v>4838.8243532135475</v>
      </c>
      <c r="P137" s="24">
        <v>5369.18</v>
      </c>
      <c r="Q137" s="24">
        <v>4839.6099999999997</v>
      </c>
      <c r="R137" s="24">
        <v>4164.8999999999996</v>
      </c>
      <c r="S137" s="11">
        <f t="shared" si="18"/>
        <v>4700.0603030109323</v>
      </c>
      <c r="T137" s="11">
        <f t="shared" si="18"/>
        <v>4721.34875656645</v>
      </c>
      <c r="U137" s="11">
        <f t="shared" si="18"/>
        <v>4742.6372101219667</v>
      </c>
      <c r="V137" s="32">
        <f t="shared" si="15"/>
        <v>56266.018590191539</v>
      </c>
      <c r="W137" s="33">
        <f t="shared" si="24"/>
        <v>4763.9256636774844</v>
      </c>
      <c r="X137" s="33">
        <f t="shared" si="22"/>
        <v>4785.2141172330021</v>
      </c>
      <c r="Y137" s="33">
        <f t="shared" si="22"/>
        <v>4806.5025707885197</v>
      </c>
      <c r="Z137" s="33">
        <f t="shared" si="22"/>
        <v>4827.7910243440374</v>
      </c>
      <c r="AA137" s="33">
        <f t="shared" si="22"/>
        <v>4849.0794778995541</v>
      </c>
      <c r="AB137" s="33">
        <f t="shared" si="22"/>
        <v>4870.3679314550718</v>
      </c>
      <c r="AC137" s="33">
        <f t="shared" si="22"/>
        <v>4891.6563850105895</v>
      </c>
      <c r="AD137" s="33">
        <f t="shared" si="22"/>
        <v>4912.9448385661071</v>
      </c>
      <c r="AE137" s="33">
        <f t="shared" si="22"/>
        <v>4934.2332921216248</v>
      </c>
      <c r="AF137" s="33">
        <f t="shared" si="22"/>
        <v>4955.5217456771416</v>
      </c>
      <c r="AG137" s="33">
        <f t="shared" si="22"/>
        <v>4976.8101992326592</v>
      </c>
      <c r="AH137" s="33">
        <f t="shared" si="22"/>
        <v>4998.0986527881769</v>
      </c>
      <c r="AI137" s="38">
        <f t="shared" si="25"/>
        <v>58572.14589879397</v>
      </c>
    </row>
    <row r="138" spans="1:35">
      <c r="A138" s="43"/>
      <c r="B138" s="43"/>
      <c r="C138" s="43"/>
      <c r="D138" s="43"/>
      <c r="E138" s="43"/>
      <c r="F138" s="4"/>
      <c r="G138" s="4"/>
      <c r="H138" s="4"/>
      <c r="I138" s="4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1"/>
    </row>
  </sheetData>
  <autoFilter ref="A3:G137" xr:uid="{EDD1E1BB-7895-42FC-A2B9-840ECD9FA99D}"/>
  <sortState xmlns:xlrd2="http://schemas.microsoft.com/office/spreadsheetml/2017/richdata2" ref="A4:I137">
    <sortCondition ref="E8:E137"/>
  </sortState>
  <phoneticPr fontId="21" type="noConversion"/>
  <pageMargins left="0.7" right="0.7" top="0.75" bottom="0.75" header="0.3" footer="0.3"/>
  <pageSetup orientation="portrait" r:id="rId1"/>
  <ignoredErrors>
    <ignoredError sqref="F131:G134 I4:I137 F12:G129 F130 F136:G137 H8:H19 H135 H28:H134" numberStoredAsText="1"/>
    <ignoredError sqref="V2 V136:V137 V80:V110 V5:V79 V111:V129 V131:V135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F73FD0B5DF746B48EE93A029CF381" ma:contentTypeVersion="24" ma:contentTypeDescription="Create a new document." ma:contentTypeScope="" ma:versionID="507b8d4d145006c0582bc9ef0334e841">
  <xsd:schema xmlns:xsd="http://www.w3.org/2001/XMLSchema" xmlns:xs="http://www.w3.org/2001/XMLSchema" xmlns:p="http://schemas.microsoft.com/office/2006/metadata/properties" xmlns:ns2="29f396f6-8851-4a25-b33f-42c566ae9417" xmlns:ns3="c2cfe4b6-b7d7-463b-9c14-e4dd57d41201" targetNamespace="http://schemas.microsoft.com/office/2006/metadata/properties" ma:root="true" ma:fieldsID="60f71b3fc269e6c84c1d965bc2c0b3ad" ns2:_="" ns3:_="">
    <xsd:import namespace="29f396f6-8851-4a25-b33f-42c566ae9417"/>
    <xsd:import namespace="c2cfe4b6-b7d7-463b-9c14-e4dd57d412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396f6-8851-4a25-b33f-42c566ae94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19" nillable="true" ma:displayName="Taxonomy Catch All Column" ma:hidden="true" ma:list="{75554bec-2a5a-49a1-bff9-0e67c9a8e14b}" ma:internalName="TaxCatchAll" ma:showField="CatchAllData" ma:web="29f396f6-8851-4a25-b33f-42c566ae94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fe4b6-b7d7-463b-9c14-e4dd57d412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0517b2-19db-4c4a-bbf7-1094c4a6a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fe4b6-b7d7-463b-9c14-e4dd57d41201">
      <Terms xmlns="http://schemas.microsoft.com/office/infopath/2007/PartnerControls"/>
    </lcf76f155ced4ddcb4097134ff3c332f>
    <TaxCatchAll xmlns="29f396f6-8851-4a25-b33f-42c566ae9417" xsi:nil="true"/>
    <MediaLengthInSeconds xmlns="c2cfe4b6-b7d7-463b-9c14-e4dd57d41201" xsi:nil="true"/>
    <SharedWithUsers xmlns="29f396f6-8851-4a25-b33f-42c566ae9417">
      <UserInfo>
        <DisplayName>Gariano, Joe R</DisplayName>
        <AccountId>23</AccountId>
        <AccountType/>
      </UserInfo>
      <UserInfo>
        <DisplayName>Fennell, Scott M</DisplayName>
        <AccountId>1460</AccountId>
        <AccountType/>
      </UserInfo>
      <UserInfo>
        <DisplayName>Kriewald, Bonnie A</DisplayName>
        <AccountId>241</AccountId>
        <AccountType/>
      </UserInfo>
      <UserInfo>
        <DisplayName>Smith, Trenten E</DisplayName>
        <AccountId>3066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B4850C2-C504-41B6-8BB7-CE3496ADE4A3}"/>
</file>

<file path=customXml/itemProps2.xml><?xml version="1.0" encoding="utf-8"?>
<ds:datastoreItem xmlns:ds="http://schemas.openxmlformats.org/officeDocument/2006/customXml" ds:itemID="{F6DCE25F-C087-4A58-8A58-1A91E964E9B2}"/>
</file>

<file path=customXml/itemProps3.xml><?xml version="1.0" encoding="utf-8"?>
<ds:datastoreItem xmlns:ds="http://schemas.openxmlformats.org/officeDocument/2006/customXml" ds:itemID="{6446E8EE-2E45-4E00-8BCF-6F5D00E7E226}"/>
</file>

<file path=docMetadata/LabelInfo.xml><?xml version="1.0" encoding="utf-8"?>
<clbl:labelList xmlns:clbl="http://schemas.microsoft.com/office/2020/mipLabelMetadata">
  <clbl:label id="{7c5a26cf-ddf0-400c-9703-4070b4e3a54d}" enabled="0" method="" siteId="{7c5a26cf-ddf0-400c-9703-4070b4e3a5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Gariano, Joe R</dc:creator>
  <cp:keywords/>
  <dc:description/>
  <cp:lastModifiedBy/>
  <cp:revision/>
  <dcterms:created xsi:type="dcterms:W3CDTF">2023-08-11T17:49:41Z</dcterms:created>
  <dcterms:modified xsi:type="dcterms:W3CDTF">2025-09-29T14:37:01Z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0x010100B76F73FD0B5DF746B48EE93A029CF381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{"FileActivityType":"9","FileActivityTimeStamp":"2023-09-28T20:53:37.567Z","FileActivityUsersOnPage":[{"DisplayName":"Gariano, Joe R","Id":"joe.gariano@gd-ms.com"},{"DisplayName":"Kriewald, Bonnie A","Id":"bonnie.kriewald@gd-ms.com"}],"FileActivityNavigationId":null}</vt:lpwstr>
  </property>
  <property fmtid="{D5CDD505-2E9C-101B-9397-08002B2CF9AE}" pid="7" name="TriggerFlowInfo">
    <vt:lpwstr/>
  </property>
</Properties>
</file>